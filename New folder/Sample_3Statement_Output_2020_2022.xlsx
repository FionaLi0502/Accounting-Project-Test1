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0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2020</v>
      </c>
      <c r="C2" s="91" t="n">
        <v>2021</v>
      </c>
      <c r="D2" s="91" t="n">
        <v>2022</v>
      </c>
      <c r="E2" t="n">
        <v>2019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D&amp;A % of Sales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LTD Rate (Avg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(Assumption)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4800000</v>
      </c>
      <c r="C32" s="105" t="n">
        <v>5040000</v>
      </c>
      <c r="D32" s="105" t="n">
        <v>5280000</v>
      </c>
      <c r="E32" t="n">
        <v>0</v>
      </c>
    </row>
    <row r="33" outlineLevel="1" ht="14.5" customHeight="1">
      <c r="A33" s="14" t="inlineStr">
        <is>
          <t>Cost of Goods Sold</t>
        </is>
      </c>
      <c r="B33" s="106" t="n">
        <v>2688000</v>
      </c>
      <c r="C33" s="106" t="n">
        <v>2822400</v>
      </c>
      <c r="D33" s="106" t="n">
        <v>2956800</v>
      </c>
      <c r="E33" t="n">
        <v>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240000</v>
      </c>
      <c r="C35" s="105" t="n">
        <v>252000</v>
      </c>
      <c r="D35" s="105" t="n">
        <v>264000</v>
      </c>
      <c r="E35" t="n">
        <v>0</v>
      </c>
    </row>
    <row r="36" outlineLevel="1" ht="14.5" customHeight="1">
      <c r="A36" s="14" t="inlineStr">
        <is>
          <t>Marketing and Administration</t>
        </is>
      </c>
      <c r="B36" s="105" t="n">
        <v>768000</v>
      </c>
      <c r="C36" s="105" t="n">
        <v>806400</v>
      </c>
      <c r="D36" s="105" t="n">
        <v>844800</v>
      </c>
      <c r="E36" t="n">
        <v>0</v>
      </c>
    </row>
    <row r="37" outlineLevel="1" ht="14.5" customHeight="1">
      <c r="A37" s="14" t="inlineStr">
        <is>
          <t>Research and Development</t>
        </is>
      </c>
      <c r="B37" s="105" t="n">
        <v>144000</v>
      </c>
      <c r="C37" s="105" t="n">
        <v>151200</v>
      </c>
      <c r="D37" s="105" t="n">
        <v>158400</v>
      </c>
      <c r="E37" t="n">
        <v>0</v>
      </c>
    </row>
    <row r="38" outlineLevel="1" ht="14.5" customHeight="1">
      <c r="A38" s="14" t="inlineStr">
        <is>
          <t>Depreciation</t>
        </is>
      </c>
      <c r="B38" s="105" t="n">
        <v>280000</v>
      </c>
      <c r="C38" s="105" t="n">
        <v>285600</v>
      </c>
      <c r="D38" s="105" t="n">
        <v>291200</v>
      </c>
      <c r="E38" t="n">
        <v>0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110000</v>
      </c>
      <c r="C40" s="105" t="n">
        <v>108900</v>
      </c>
      <c r="D40" s="105" t="n">
        <v>107800</v>
      </c>
      <c r="E40" s="17" t="n">
        <v>0</v>
      </c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 t="n">
        <v>131100</v>
      </c>
      <c r="C42" s="97" t="n">
        <v>141105</v>
      </c>
      <c r="D42" s="97" t="n">
        <v>151110</v>
      </c>
      <c r="E42" s="17" t="n">
        <v>0</v>
      </c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0</v>
      </c>
      <c r="C45" s="105" t="n">
        <v>282823.5</v>
      </c>
      <c r="D45" s="105" t="n">
        <v>302877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1927980</v>
      </c>
      <c r="C52" s="105" t="n">
        <v>2173089</v>
      </c>
      <c r="D52" s="105" t="n">
        <v>2447244.5</v>
      </c>
      <c r="E52" t="n">
        <v>1077980</v>
      </c>
    </row>
    <row r="53" outlineLevel="1" ht="14.5" customHeight="1">
      <c r="A53" s="14" t="inlineStr">
        <is>
          <t>Trade and Other Receivables</t>
        </is>
      </c>
      <c r="B53" s="105" t="n">
        <v>1207500</v>
      </c>
      <c r="C53" s="105" t="n">
        <v>1243725</v>
      </c>
      <c r="D53" s="105" t="n">
        <v>1279950</v>
      </c>
      <c r="E53" t="n">
        <v>1207500</v>
      </c>
    </row>
    <row r="54" outlineLevel="1" ht="14.5" customHeight="1">
      <c r="A54" s="14" t="inlineStr">
        <is>
          <t>Inventories</t>
        </is>
      </c>
      <c r="B54" s="105" t="n">
        <v>874000</v>
      </c>
      <c r="C54" s="105" t="n">
        <v>891480</v>
      </c>
      <c r="D54" s="105" t="n">
        <v>908960</v>
      </c>
      <c r="E54" t="n">
        <v>874000</v>
      </c>
    </row>
    <row r="55" outlineLevel="1" ht="14.5" customHeight="1">
      <c r="A55" t="inlineStr">
        <is>
          <t>Prepaid Expenses</t>
        </is>
      </c>
      <c r="B55" s="98" t="n">
        <v>109250</v>
      </c>
      <c r="C55" s="98" t="n">
        <v>110342.5</v>
      </c>
      <c r="D55" s="98" t="n">
        <v>111435</v>
      </c>
      <c r="E55" t="n">
        <v>109250</v>
      </c>
    </row>
    <row r="56" outlineLevel="1" ht="14.5" customHeight="1">
      <c r="A56" t="inlineStr">
        <is>
          <t>Other Current Assets</t>
        </is>
      </c>
      <c r="B56" s="98" t="n">
        <v>218500</v>
      </c>
      <c r="C56" s="98" t="n">
        <v>222870</v>
      </c>
      <c r="D56" s="98" t="n">
        <v>227240</v>
      </c>
      <c r="E56" t="n">
        <v>218500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2850000</v>
      </c>
      <c r="C59" s="105" t="n">
        <v>3180000</v>
      </c>
      <c r="D59" s="105" t="n">
        <v>3510000</v>
      </c>
      <c r="E59" t="n">
        <v>2850000</v>
      </c>
    </row>
    <row r="60" outlineLevel="1" ht="14.5" customHeight="1">
      <c r="A60" t="inlineStr">
        <is>
          <t>Less: Accumulated Depreciation</t>
        </is>
      </c>
      <c r="B60" s="98" t="n">
        <v>1330000</v>
      </c>
      <c r="C60" s="98" t="n">
        <v>1615600</v>
      </c>
      <c r="D60" s="98" t="n">
        <v>1906800</v>
      </c>
      <c r="E60" t="n">
        <v>1330000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880000</v>
      </c>
      <c r="C66" s="105" t="n">
        <v>893200</v>
      </c>
      <c r="D66" s="105" t="n">
        <v>906400</v>
      </c>
      <c r="E66" t="n">
        <v>880000</v>
      </c>
    </row>
    <row r="67" outlineLevel="1" ht="14.5" customHeight="1">
      <c r="A67" t="inlineStr">
        <is>
          <t>Accrued Payroll</t>
        </is>
      </c>
      <c r="B67" s="98" t="n">
        <v>190000</v>
      </c>
      <c r="C67" s="98" t="n">
        <v>193800</v>
      </c>
      <c r="D67" s="98" t="n">
        <v>197600</v>
      </c>
      <c r="E67" t="n">
        <v>190000</v>
      </c>
    </row>
    <row r="68" outlineLevel="1" ht="14.5" customHeight="1">
      <c r="A68" t="inlineStr">
        <is>
          <t>Deferred Revenue</t>
        </is>
      </c>
      <c r="B68" s="98" t="n">
        <v>290000</v>
      </c>
      <c r="C68" s="98" t="n">
        <v>298700</v>
      </c>
      <c r="D68" s="98" t="n">
        <v>307400</v>
      </c>
      <c r="E68" t="n">
        <v>290000</v>
      </c>
    </row>
    <row r="69" outlineLevel="1" ht="14.5" customHeight="1">
      <c r="A69" t="inlineStr">
        <is>
          <t>Interest Payable</t>
        </is>
      </c>
      <c r="B69" s="98" t="n">
        <v>0</v>
      </c>
      <c r="C69" s="98" t="n">
        <v>0</v>
      </c>
      <c r="D69" s="98" t="n">
        <v>0</v>
      </c>
      <c r="E69" t="n">
        <v>0</v>
      </c>
    </row>
    <row r="70" outlineLevel="1" ht="14.5" customHeight="1">
      <c r="A70" t="inlineStr">
        <is>
          <t>Other Current Liabilities</t>
        </is>
      </c>
      <c r="B70" s="98" t="n">
        <v>140000</v>
      </c>
      <c r="C70" s="98" t="n">
        <v>142800</v>
      </c>
      <c r="D70" s="98" t="n">
        <v>145600</v>
      </c>
      <c r="E70" t="n">
        <v>140000</v>
      </c>
    </row>
    <row r="71" outlineLevel="1" ht="14.5" customHeight="1" thickBot="1">
      <c r="A71" s="14" t="inlineStr">
        <is>
          <t>Income Taxes Payable</t>
        </is>
      </c>
      <c r="B71" s="105" t="n">
        <v>131100</v>
      </c>
      <c r="C71" s="105" t="n">
        <v>272205</v>
      </c>
      <c r="D71" s="105" t="n">
        <v>423315</v>
      </c>
      <c r="E71" t="n">
        <v>0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1050000</v>
      </c>
      <c r="C74" s="105" t="n">
        <v>1039500</v>
      </c>
      <c r="D74" s="105" t="n">
        <v>1029000</v>
      </c>
      <c r="E74" t="n">
        <v>1050000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2000000</v>
      </c>
      <c r="C76" s="105" t="n">
        <v>2000000</v>
      </c>
      <c r="D76" s="105" t="n">
        <v>2000000</v>
      </c>
      <c r="E76" t="n">
        <v>2000000</v>
      </c>
    </row>
    <row r="77" outlineLevel="1" ht="14.5" customHeight="1">
      <c r="A77" s="14" t="inlineStr">
        <is>
          <t>Retained Earnings</t>
        </is>
      </c>
      <c r="B77" s="105" t="n">
        <v>1176130</v>
      </c>
      <c r="C77" s="97" t="n">
        <v>1365701.5</v>
      </c>
      <c r="D77" s="97" t="n">
        <v>1568714.5</v>
      </c>
      <c r="E77" t="n">
        <v>457230</v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>
        <f>E53-B53</f>
        <v/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>
        <f>E54-B54</f>
        <v/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>
        <f>E55-B55</f>
        <v/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>
        <f>E56-B56</f>
        <v/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>
        <f>B66-E66</f>
        <v/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>
        <f>B67-E67</f>
        <v/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>
        <f>B68-E68</f>
        <v/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>
        <f>B69-E69</f>
        <v/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>
        <f>B70-E70</f>
        <v/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>
        <f>B71-E71</f>
        <v/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-(B59-E59)</f>
        <v/>
      </c>
      <c r="C103" s="105">
        <f>-(C59-B59)</f>
        <v/>
      </c>
      <c r="D103" s="105">
        <f>-(D59-C59)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>
        <f>B76-E76</f>
        <v/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>
        <f>B74-E74</f>
        <v/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>
        <f>E52</f>
        <v/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Year 0 requirement (internal): Trial Balance must include prior-year year-end snapshot (Year0) for opening balances. Year0 is hidden in the model but used for Year1 cash flow and working capital deltas.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2026-02-12T06:23:44Z</dcterms:modified>
  <cp:lastModifiedBy>Yujie Li</cp:lastModifiedBy>
</cp:coreProperties>
</file>