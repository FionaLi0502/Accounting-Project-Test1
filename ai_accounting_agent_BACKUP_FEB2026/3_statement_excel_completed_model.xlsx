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jie Li\Downloads\"/>
    </mc:Choice>
  </mc:AlternateContent>
  <xr:revisionPtr revIDLastSave="0" documentId="13_ncr:1_{5E33AEA8-3DA7-4DA4-947B-9B63734C635C}" xr6:coauthVersionLast="47" xr6:coauthVersionMax="47" xr10:uidLastSave="{00000000-0000-0000-0000-000000000000}"/>
  <bookViews>
    <workbookView xWindow="-110" yWindow="-110" windowWidth="25820" windowHeight="13900" xr2:uid="{BF3D2BD5-3565-4B0B-8265-0C0C1F0B094C}"/>
  </bookViews>
  <sheets>
    <sheet name="Blank 3 Statement Model" sheetId="1" r:id="rId1"/>
  </sheets>
  <definedNames>
    <definedName name="CIQWBGuid" hidden="1">"2cd8126d-26c3-430c-b7fa-a069e3a1fc62"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43412.7003240741</definedName>
    <definedName name="IQ_QTD" hidden="1">750000</definedName>
    <definedName name="IQ_TODAY" hidden="1">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0" i="1" l="1"/>
  <c r="D130" i="1"/>
  <c r="B130" i="1"/>
  <c r="B120" i="1" l="1"/>
  <c r="B123" i="1"/>
  <c r="B124" i="1" s="1"/>
  <c r="D115" i="1"/>
  <c r="C115" i="1"/>
  <c r="B116" i="1"/>
  <c r="C113" i="1" s="1"/>
  <c r="B115" i="1"/>
  <c r="C16" i="1"/>
  <c r="D16" i="1"/>
  <c r="C25" i="1"/>
  <c r="C121" i="1" s="1"/>
  <c r="D25" i="1"/>
  <c r="D121" i="1" s="1"/>
  <c r="C26" i="1"/>
  <c r="D26" i="1"/>
  <c r="B26" i="1"/>
  <c r="B25" i="1"/>
  <c r="B121" i="1" s="1"/>
  <c r="C123" i="1" l="1"/>
  <c r="C124" i="1" s="1"/>
  <c r="D119" i="1"/>
  <c r="D120" i="1" s="1"/>
  <c r="D123" i="1"/>
  <c r="D124" i="1" s="1"/>
  <c r="C119" i="1"/>
  <c r="C120" i="1" s="1"/>
  <c r="B119" i="1"/>
  <c r="D108" i="1"/>
  <c r="D109" i="1"/>
  <c r="C108" i="1"/>
  <c r="C109" i="1"/>
  <c r="B108" i="1"/>
  <c r="B109" i="1"/>
  <c r="B110" i="1"/>
  <c r="B107" i="1" l="1"/>
  <c r="B20" i="1"/>
  <c r="C107" i="1"/>
  <c r="C110" i="1" s="1"/>
  <c r="D107" i="1" s="1"/>
  <c r="D110" i="1" s="1"/>
  <c r="C21" i="1"/>
  <c r="D21" i="1"/>
  <c r="C22" i="1"/>
  <c r="D22" i="1"/>
  <c r="C23" i="1"/>
  <c r="D23" i="1"/>
  <c r="C24" i="1"/>
  <c r="D24" i="1"/>
  <c r="B24" i="1"/>
  <c r="B23" i="1"/>
  <c r="B22" i="1"/>
  <c r="B21" i="1"/>
  <c r="C20" i="1" l="1"/>
  <c r="D20" i="1"/>
  <c r="C12" i="1"/>
  <c r="D12" i="1"/>
  <c r="C13" i="1"/>
  <c r="D13" i="1"/>
  <c r="C14" i="1"/>
  <c r="D14" i="1"/>
  <c r="C15" i="1"/>
  <c r="D15" i="1"/>
  <c r="B15" i="1"/>
  <c r="B14" i="1"/>
  <c r="B13" i="1"/>
  <c r="B12" i="1"/>
  <c r="D10" i="1"/>
  <c r="C10" i="1"/>
  <c r="C96" i="1"/>
  <c r="C139" i="1" s="1"/>
  <c r="D96" i="1"/>
  <c r="D139" i="1" s="1"/>
  <c r="B96" i="1"/>
  <c r="B139" i="1" s="1"/>
  <c r="C90" i="1"/>
  <c r="C138" i="1" s="1"/>
  <c r="D90" i="1"/>
  <c r="D138" i="1" s="1"/>
  <c r="B90" i="1"/>
  <c r="B138" i="1" s="1"/>
  <c r="C86" i="1"/>
  <c r="C137" i="1" s="1"/>
  <c r="D86" i="1"/>
  <c r="D137" i="1" s="1"/>
  <c r="B86" i="1"/>
  <c r="B137" i="1" s="1"/>
  <c r="C70" i="1"/>
  <c r="D70" i="1"/>
  <c r="B70" i="1"/>
  <c r="C64" i="1"/>
  <c r="D64" i="1"/>
  <c r="B64" i="1"/>
  <c r="C55" i="1"/>
  <c r="C58" i="1" s="1"/>
  <c r="D55" i="1"/>
  <c r="D58" i="1" s="1"/>
  <c r="B55" i="1"/>
  <c r="B58" i="1" s="1"/>
  <c r="C34" i="1"/>
  <c r="C39" i="1" s="1"/>
  <c r="D34" i="1"/>
  <c r="D11" i="1" s="1"/>
  <c r="B34" i="1"/>
  <c r="B39" i="1" s="1"/>
  <c r="C2" i="1"/>
  <c r="D2" i="1" s="1"/>
  <c r="D71" i="1" l="1"/>
  <c r="D3" i="1" s="1"/>
  <c r="B71" i="1"/>
  <c r="B3" i="1" s="1"/>
  <c r="C71" i="1"/>
  <c r="C3" i="1" s="1"/>
  <c r="D98" i="1"/>
  <c r="D140" i="1" s="1"/>
  <c r="B131" i="1"/>
  <c r="B132" i="1" s="1"/>
  <c r="B41" i="1"/>
  <c r="C131" i="1"/>
  <c r="C132" i="1" s="1"/>
  <c r="C41" i="1"/>
  <c r="C98" i="1"/>
  <c r="D39" i="1"/>
  <c r="B11" i="1"/>
  <c r="C11" i="1"/>
  <c r="B98" i="1"/>
  <c r="D100" i="1" l="1"/>
  <c r="D131" i="1"/>
  <c r="D132" i="1" s="1"/>
  <c r="D41" i="1"/>
  <c r="B140" i="1"/>
  <c r="B100" i="1"/>
  <c r="B73" i="1" s="1"/>
  <c r="C140" i="1"/>
  <c r="C100" i="1"/>
  <c r="C73" i="1" s="1"/>
  <c r="C43" i="1"/>
  <c r="C17" i="1"/>
  <c r="B17" i="1"/>
  <c r="B43" i="1"/>
  <c r="D73" i="1" l="1"/>
  <c r="C133" i="1"/>
  <c r="C134" i="1" s="1"/>
  <c r="C27" i="1"/>
  <c r="C114" i="1"/>
  <c r="C116" i="1" s="1"/>
  <c r="D113" i="1" s="1"/>
  <c r="B133" i="1"/>
  <c r="B134" i="1" s="1"/>
  <c r="B27" i="1"/>
  <c r="B114" i="1"/>
  <c r="B113" i="1" s="1"/>
  <c r="D17" i="1"/>
  <c r="D43" i="1"/>
  <c r="D133" i="1" l="1"/>
  <c r="D134" i="1" s="1"/>
  <c r="D27" i="1"/>
  <c r="D114" i="1"/>
  <c r="D116" i="1" s="1"/>
</calcChain>
</file>

<file path=xl/sharedStrings.xml><?xml version="1.0" encoding="utf-8"?>
<sst xmlns="http://schemas.openxmlformats.org/spreadsheetml/2006/main" count="119" uniqueCount="99">
  <si>
    <t>3 Statement Model</t>
  </si>
  <si>
    <t>USD millions, except per share data</t>
  </si>
  <si>
    <t>Balance Sheet Check</t>
  </si>
  <si>
    <t>Assumptions &amp; Drivers</t>
  </si>
  <si>
    <t>Days in Period</t>
  </si>
  <si>
    <t>Income Statement</t>
  </si>
  <si>
    <t>Sales Growth</t>
  </si>
  <si>
    <t>Gross Margin</t>
  </si>
  <si>
    <t>Distribution Expense (Percent of Sales)</t>
  </si>
  <si>
    <t>Research Expense (Percent of Sales)</t>
  </si>
  <si>
    <t>Depreciation (Percent of Sales)</t>
  </si>
  <si>
    <t>Long Term Debt Interest (Average Debt)</t>
  </si>
  <si>
    <t>Tax Rate (Percent of EBT)</t>
  </si>
  <si>
    <t>Balance Sheet</t>
  </si>
  <si>
    <t>Capital Asset Turnover Ratio</t>
  </si>
  <si>
    <t>Receivable Days (Sales Basis)</t>
  </si>
  <si>
    <t>Inventory Days (COGS Basis)</t>
  </si>
  <si>
    <t>Payable Days (COGS Basis)</t>
  </si>
  <si>
    <t>Income Tax Payable</t>
  </si>
  <si>
    <t>Long Term Debt</t>
  </si>
  <si>
    <t>Common Share Capital</t>
  </si>
  <si>
    <t xml:space="preserve">Dividend Payout Ratio </t>
  </si>
  <si>
    <t>Revenues</t>
  </si>
  <si>
    <t>Cost of Goods Sold</t>
  </si>
  <si>
    <t>Gross Profit</t>
  </si>
  <si>
    <t>Distribution Expenses</t>
  </si>
  <si>
    <t>Marketing and Administration</t>
  </si>
  <si>
    <t>Research and Development</t>
  </si>
  <si>
    <t>Depreciation</t>
  </si>
  <si>
    <t>EBIT (Operating Profit)</t>
  </si>
  <si>
    <t>Interest</t>
  </si>
  <si>
    <t>Income Before Taxes</t>
  </si>
  <si>
    <t>Taxes</t>
  </si>
  <si>
    <t>Net Income</t>
  </si>
  <si>
    <t>Common Dividends</t>
  </si>
  <si>
    <t>ASSETS</t>
  </si>
  <si>
    <t>Current Assets:</t>
  </si>
  <si>
    <t>Cash</t>
  </si>
  <si>
    <t>Trade and Other Receivables</t>
  </si>
  <si>
    <t>Inventories</t>
  </si>
  <si>
    <t>Total Current Assets</t>
  </si>
  <si>
    <t>Non-Current Assets:</t>
  </si>
  <si>
    <t>Property Plant and Equipment</t>
  </si>
  <si>
    <t>TOTAL ASSETS</t>
  </si>
  <si>
    <t>LIABILITIES AND SHAREHOLDERS' EQUITY</t>
  </si>
  <si>
    <t>Current Liabilities:</t>
  </si>
  <si>
    <t>Trade and Other Payables</t>
  </si>
  <si>
    <t>Income Taxes Payable</t>
  </si>
  <si>
    <t>Total Current Liabilities:</t>
  </si>
  <si>
    <t>Non-Current Liabilities:</t>
  </si>
  <si>
    <t>Long-Term Debt</t>
  </si>
  <si>
    <t>Shareholder's Equity:</t>
  </si>
  <si>
    <t>Common Stock and Additional Paid-In Capital</t>
  </si>
  <si>
    <t>Retained Earnings</t>
  </si>
  <si>
    <t>Total Shareholders' Equity</t>
  </si>
  <si>
    <t>TOTAL LIABILITIES AND SHAREHOLDERS' EQUITY</t>
  </si>
  <si>
    <t>Check</t>
  </si>
  <si>
    <t>Cash Flow Statement</t>
  </si>
  <si>
    <t>Cash Flows from Operating Activities:</t>
  </si>
  <si>
    <t>Changes in Operating Assets and Liabilities:</t>
  </si>
  <si>
    <t>Net Cash Provided by Operating Activities</t>
  </si>
  <si>
    <t/>
  </si>
  <si>
    <t>Investing Activities:</t>
  </si>
  <si>
    <t>Acquisitions of Property and Equipment</t>
  </si>
  <si>
    <t>Cash Flows from Investing Activities</t>
  </si>
  <si>
    <t>Financing Activities:</t>
  </si>
  <si>
    <t>Issuance of Common Stock</t>
  </si>
  <si>
    <t>Dividends (current year)</t>
  </si>
  <si>
    <t>Increase/(Decrease) in Long-Term Debt</t>
  </si>
  <si>
    <t>Cash Flows from Financing Activities</t>
  </si>
  <si>
    <t>Increase/(Decrease) in Cash and Equivalents</t>
  </si>
  <si>
    <t>Cash and Equivalents, Beginning of the Year</t>
  </si>
  <si>
    <t>Cash and Equivalents, End of the Year</t>
  </si>
  <si>
    <t>Supporting Schedules</t>
  </si>
  <si>
    <t>Property Plant and Equipment (PP&amp;E)</t>
  </si>
  <si>
    <t>Beginning of Period</t>
  </si>
  <si>
    <t>Capital Expenditures/Additions (Disposals)</t>
  </si>
  <si>
    <t>Depreciation Expense</t>
  </si>
  <si>
    <t>Net PP&amp;E End of Period</t>
  </si>
  <si>
    <t>Retained Earnings (RE)</t>
  </si>
  <si>
    <t>Dividends</t>
  </si>
  <si>
    <t>RE End of Period</t>
  </si>
  <si>
    <t>Long Term Debt (LTD)</t>
  </si>
  <si>
    <t>Additions (Repayments)</t>
  </si>
  <si>
    <t>LTD End of Period</t>
  </si>
  <si>
    <t>Long Term Debt Interest</t>
  </si>
  <si>
    <t>Total Interest</t>
  </si>
  <si>
    <t>Charts &amp; Graphs</t>
  </si>
  <si>
    <t>Revenue</t>
  </si>
  <si>
    <t>EBITDA</t>
  </si>
  <si>
    <t>EBITDA Margin</t>
  </si>
  <si>
    <t>Net Income Margin</t>
  </si>
  <si>
    <t>Cash Flow</t>
  </si>
  <si>
    <t>Operations</t>
  </si>
  <si>
    <t>Investing</t>
  </si>
  <si>
    <t>Financing</t>
  </si>
  <si>
    <t>Change in Cash</t>
  </si>
  <si>
    <t>Marketing &amp; Admin Expense (Fixed Cost)</t>
  </si>
  <si>
    <t>Net PP&amp;E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</si>
</sst>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_-;\(#,##0\)_-;_-* &quot;-&quot;_-;_-@_-"/>
    <numFmt numFmtId="166" formatCode="#,##0_);\(#,##0\);\-"/>
    <numFmt numFmtId="167" formatCode="0.0%"/>
    <numFmt numFmtId="168" formatCode="[Blue]#,##0;[Blue]\(#,##0\);\-"/>
    <numFmt numFmtId="169" formatCode="#,##0_);[Red]\(#,##0\);\-"/>
    <numFmt numFmtId="170" formatCode="#,##0.000_);\(#,##0.000\)"/>
  </numFmts>
  <fonts count="2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 Narrow"/>
      <family val="2"/>
    </font>
    <font>
      <sz val="11"/>
      <color theme="0"/>
      <name val="Arial Narrow"/>
      <family val="2"/>
    </font>
    <font>
      <sz val="11"/>
      <color theme="1"/>
      <name val="Arial Narrow"/>
      <family val="2"/>
    </font>
    <font>
      <b/>
      <sz val="14"/>
      <color rgb="FFFFFFFF"/>
      <name val="Arial Narrow"/>
      <family val="2"/>
    </font>
    <font>
      <sz val="10"/>
      <name val="Bookman"/>
      <family val="1"/>
    </font>
    <font>
      <i/>
      <sz val="10"/>
      <color theme="0"/>
      <name val="Arial Narrow"/>
      <family val="2"/>
    </font>
    <font>
      <b/>
      <sz val="14"/>
      <color theme="0"/>
      <name val="Arial Narrow"/>
      <family val="2"/>
    </font>
    <font>
      <i/>
      <sz val="11"/>
      <color theme="1"/>
      <name val="Arial Narrow"/>
      <family val="2"/>
    </font>
    <font>
      <i/>
      <sz val="11"/>
      <name val="Arial Narrow"/>
      <family val="2"/>
    </font>
    <font>
      <sz val="14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rgb="FF0000FF"/>
      <name val="Arial Narrow"/>
      <family val="2"/>
    </font>
    <font>
      <sz val="11"/>
      <name val="Arial"/>
      <family val="2"/>
    </font>
    <font>
      <sz val="10"/>
      <name val="Bookman"/>
    </font>
    <font>
      <b/>
      <sz val="11"/>
      <color rgb="FF0000FF"/>
      <name val="Arial Narrow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19" fillId="0" borderId="0" applyNumberFormat="0" applyFill="0" applyBorder="0" applyAlignment="0" applyProtection="0"/>
  </cellStyleXfs>
  <cellXfs count="57">
    <xf numFmtId="0" fontId="0" fillId="0" borderId="0" xfId="0"/>
    <xf numFmtId="37" fontId="3" fillId="3" borderId="0" xfId="0" applyNumberFormat="1" applyFont="1" applyFill="1" applyAlignment="1">
      <alignment vertical="top"/>
    </xf>
    <xf numFmtId="37" fontId="4" fillId="3" borderId="0" xfId="0" applyNumberFormat="1" applyFont="1" applyFill="1" applyAlignment="1">
      <alignment vertical="top"/>
    </xf>
    <xf numFmtId="37" fontId="5" fillId="0" borderId="0" xfId="0" applyNumberFormat="1" applyFont="1"/>
    <xf numFmtId="0" fontId="6" fillId="2" borderId="0" xfId="0" applyFont="1" applyFill="1" applyAlignment="1">
      <alignment horizontal="left" vertical="center" readingOrder="1"/>
    </xf>
    <xf numFmtId="165" fontId="8" fillId="2" borderId="0" xfId="3" applyNumberFormat="1" applyFont="1" applyFill="1" applyAlignment="1" applyProtection="1">
      <alignment horizontal="left"/>
      <protection locked="0"/>
    </xf>
    <xf numFmtId="165" fontId="10" fillId="0" borderId="0" xfId="3" applyNumberFormat="1" applyFont="1" applyProtection="1">
      <protection locked="0"/>
    </xf>
    <xf numFmtId="165" fontId="11" fillId="0" borderId="0" xfId="3" applyNumberFormat="1" applyFont="1" applyAlignment="1">
      <alignment horizontal="right"/>
    </xf>
    <xf numFmtId="165" fontId="5" fillId="0" borderId="0" xfId="3" applyNumberFormat="1" applyFont="1" applyProtection="1">
      <protection locked="0"/>
    </xf>
    <xf numFmtId="165" fontId="10" fillId="0" borderId="0" xfId="3" applyNumberFormat="1" applyFont="1" applyAlignment="1" applyProtection="1">
      <alignment horizontal="center"/>
      <protection locked="0"/>
    </xf>
    <xf numFmtId="37" fontId="9" fillId="4" borderId="0" xfId="0" applyNumberFormat="1" applyFont="1" applyFill="1" applyAlignment="1">
      <alignment vertical="center"/>
    </xf>
    <xf numFmtId="166" fontId="9" fillId="4" borderId="0" xfId="0" applyNumberFormat="1" applyFont="1" applyFill="1" applyAlignment="1">
      <alignment vertical="center"/>
    </xf>
    <xf numFmtId="37" fontId="12" fillId="0" borderId="0" xfId="0" applyNumberFormat="1" applyFont="1" applyAlignment="1">
      <alignment vertical="center"/>
    </xf>
    <xf numFmtId="0" fontId="13" fillId="0" borderId="0" xfId="0" applyFont="1"/>
    <xf numFmtId="0" fontId="14" fillId="0" borderId="0" xfId="0" applyFont="1"/>
    <xf numFmtId="166" fontId="14" fillId="0" borderId="0" xfId="0" applyNumberFormat="1" applyFont="1"/>
    <xf numFmtId="166" fontId="15" fillId="0" borderId="0" xfId="0" applyNumberFormat="1" applyFont="1"/>
    <xf numFmtId="0" fontId="16" fillId="0" borderId="0" xfId="0" applyFont="1"/>
    <xf numFmtId="167" fontId="14" fillId="0" borderId="0" xfId="0" applyNumberFormat="1" applyFont="1"/>
    <xf numFmtId="167" fontId="15" fillId="0" borderId="0" xfId="2" applyNumberFormat="1" applyFont="1" applyAlignment="1">
      <alignment horizontal="right"/>
    </xf>
    <xf numFmtId="167" fontId="14" fillId="0" borderId="0" xfId="2" applyNumberFormat="1" applyFont="1"/>
    <xf numFmtId="38" fontId="14" fillId="0" borderId="0" xfId="0" applyNumberFormat="1" applyFont="1"/>
    <xf numFmtId="40" fontId="14" fillId="0" borderId="0" xfId="0" applyNumberFormat="1" applyFont="1"/>
    <xf numFmtId="168" fontId="14" fillId="0" borderId="0" xfId="0" applyNumberFormat="1" applyFont="1" applyProtection="1">
      <protection locked="0"/>
    </xf>
    <xf numFmtId="166" fontId="18" fillId="0" borderId="0" xfId="0" applyNumberFormat="1" applyFont="1"/>
    <xf numFmtId="166" fontId="13" fillId="0" borderId="0" xfId="0" applyNumberFormat="1" applyFont="1"/>
    <xf numFmtId="166" fontId="15" fillId="0" borderId="1" xfId="0" applyNumberFormat="1" applyFont="1" applyBorder="1"/>
    <xf numFmtId="0" fontId="13" fillId="0" borderId="2" xfId="0" applyFont="1" applyBorder="1"/>
    <xf numFmtId="169" fontId="13" fillId="0" borderId="0" xfId="0" applyNumberFormat="1" applyFont="1"/>
    <xf numFmtId="169" fontId="13" fillId="0" borderId="2" xfId="0" applyNumberFormat="1" applyFont="1" applyBorder="1"/>
    <xf numFmtId="0" fontId="14" fillId="0" borderId="2" xfId="0" applyFont="1" applyBorder="1"/>
    <xf numFmtId="169" fontId="14" fillId="0" borderId="2" xfId="0" applyNumberFormat="1" applyFont="1" applyBorder="1"/>
    <xf numFmtId="0" fontId="13" fillId="0" borderId="3" xfId="0" applyFont="1" applyBorder="1"/>
    <xf numFmtId="169" fontId="13" fillId="0" borderId="3" xfId="0" applyNumberFormat="1" applyFont="1" applyBorder="1"/>
    <xf numFmtId="169" fontId="14" fillId="0" borderId="0" xfId="0" applyNumberFormat="1" applyFont="1"/>
    <xf numFmtId="0" fontId="13" fillId="0" borderId="4" xfId="0" applyFont="1" applyBorder="1"/>
    <xf numFmtId="169" fontId="13" fillId="0" borderId="4" xfId="0" applyNumberFormat="1" applyFont="1" applyBorder="1"/>
    <xf numFmtId="169" fontId="15" fillId="0" borderId="0" xfId="0" applyNumberFormat="1" applyFont="1"/>
    <xf numFmtId="169" fontId="13" fillId="0" borderId="5" xfId="0" applyNumberFormat="1" applyFont="1" applyBorder="1"/>
    <xf numFmtId="0" fontId="11" fillId="0" borderId="0" xfId="0" applyFont="1"/>
    <xf numFmtId="170" fontId="11" fillId="0" borderId="0" xfId="1" applyNumberFormat="1" applyFont="1"/>
    <xf numFmtId="166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left" indent="1"/>
    </xf>
    <xf numFmtId="166" fontId="14" fillId="0" borderId="2" xfId="0" applyNumberFormat="1" applyFont="1" applyBorder="1"/>
    <xf numFmtId="0" fontId="13" fillId="0" borderId="5" xfId="0" applyFont="1" applyBorder="1"/>
    <xf numFmtId="166" fontId="13" fillId="0" borderId="5" xfId="0" applyNumberFormat="1" applyFont="1" applyBorder="1"/>
    <xf numFmtId="1" fontId="14" fillId="0" borderId="0" xfId="0" applyNumberFormat="1" applyFont="1"/>
    <xf numFmtId="166" fontId="13" fillId="0" borderId="2" xfId="0" applyNumberFormat="1" applyFont="1" applyBorder="1"/>
    <xf numFmtId="166" fontId="15" fillId="0" borderId="0" xfId="0" applyNumberFormat="1" applyFont="1" applyAlignment="1">
      <alignment horizontal="right"/>
    </xf>
    <xf numFmtId="0" fontId="11" fillId="0" borderId="0" xfId="0" applyFont="1" applyAlignment="1">
      <alignment horizontal="left" indent="1"/>
    </xf>
    <xf numFmtId="167" fontId="11" fillId="0" borderId="0" xfId="2" applyNumberFormat="1" applyFont="1"/>
    <xf numFmtId="0" fontId="13" fillId="5" borderId="0" xfId="0" applyFont="1" applyFill="1" applyAlignment="1">
      <alignment horizontal="centerContinuous"/>
    </xf>
    <xf numFmtId="169" fontId="18" fillId="0" borderId="0" xfId="0" applyNumberFormat="1" applyFont="1"/>
    <xf numFmtId="0" fontId="15" fillId="0" borderId="0" xfId="0" applyFont="1"/>
    <xf numFmtId="169" fontId="14" fillId="0" borderId="2" xfId="0" applyNumberFormat="1" applyFont="1" applyBorder="1" applyAlignment="1">
      <alignment horizontal="right"/>
    </xf>
    <xf numFmtId="49" fontId="9" fillId="3" borderId="0" xfId="0" applyNumberFormat="1" applyFont="1" applyFill="1" applyAlignment="1">
      <alignment horizontal="right"/>
    </xf>
    <xf numFmtId="166" fontId="5" fillId="0" borderId="0" xfId="0" applyNumberFormat="1" applyFont="1"/>
  </cellXfs>
  <cellStyles count="6">
    <cellStyle name="Comma" xfId="1" builtinId="3"/>
    <cellStyle name="Comma 2" xfId="3" xr:uid="{7B55658A-63F6-4A23-9179-88B5E6431BBC}"/>
    <cellStyle name="Hyperlink 2 2" xfId="5" xr:uid="{C47D507C-18CD-474D-ACA9-329B8E602D73}"/>
    <cellStyle name="Normal" xfId="0" builtinId="0"/>
    <cellStyle name="Normal 2 2" xfId="4" xr:uid="{F2F78BBF-65EF-46DA-BA07-F729A84321DF}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indexed="65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1494971400294005"/>
          <c:w val="0.76762868213496627"/>
          <c:h val="0.77784941854541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'Blank 3 Statement Model'!$A$130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'Blank 3 Statement Model'!$B$2:$D$2</c:f>
              <c:numCache>
                <c:formatCode>@</c:formatCod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numCache>
            </c:numRef>
          </c:cat>
          <c:val>
            <c:numRef>
              <c:f>'Blank 3 Statement Model'!$B$130:$D$130</c:f>
              <c:numCache>
                <c:formatCode>#,##0_);\(#,##0\);\-</c:formatCode>
                <c:ptCount val="3"/>
                <c:pt idx="0">
                  <c:v>81422</c:v>
                </c:pt>
                <c:pt idx="1">
                  <c:v>86698</c:v>
                </c:pt>
                <c:pt idx="2">
                  <c:v>93085.92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6-4CE2-BF45-17AA1726D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35279256"/>
        <c:axId val="635280568"/>
      </c:barChart>
      <c:lineChart>
        <c:grouping val="standard"/>
        <c:varyColors val="0"/>
        <c:ser>
          <c:idx val="1"/>
          <c:order val="1"/>
          <c:tx>
            <c:strRef>
              <c:f>'Blank 3 Statement Model'!$A$132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'Blank 3 Statement Model'!$B$2:$D$2</c:f>
              <c:numCache>
                <c:formatCode>@</c:formatCod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numCache>
            </c:numRef>
          </c:cat>
          <c:val>
            <c:numRef>
              <c:f>'Blank 3 Statement Model'!$B$132:$D$132</c:f>
              <c:numCache>
                <c:formatCode>0.0%</c:formatCode>
                <c:ptCount val="3"/>
                <c:pt idx="0">
                  <c:v>0.14917344206725455</c:v>
                </c:pt>
                <c:pt idx="1">
                  <c:v>0.16172230039908647</c:v>
                </c:pt>
                <c:pt idx="2">
                  <c:v>0.15496643788878067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E6-4CE2-BF45-17AA1726DC3F}"/>
            </c:ext>
          </c:extLst>
        </c:ser>
        <c:ser>
          <c:idx val="2"/>
          <c:order val="2"/>
          <c:tx>
            <c:strRef>
              <c:f>'Blank 3 Statement Model'!$A$134</c:f>
              <c:strCache>
                <c:ptCount val="1"/>
                <c:pt idx="0">
                  <c:v>Net Income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'Blank 3 Statement Model'!$B$134:$D$134</c:f>
              <c:numCache>
                <c:formatCode>0.0%</c:formatCode>
                <c:ptCount val="3"/>
                <c:pt idx="0">
                  <c:v>6.3680577730834423E-2</c:v>
                </c:pt>
                <c:pt idx="1">
                  <c:v>8.7072366144547747E-2</c:v>
                </c:pt>
                <c:pt idx="2">
                  <c:v>9.3550054143526809E-2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E6-4CE2-BF45-17AA1726D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547456"/>
        <c:axId val="405025360"/>
      </c:lineChart>
      <c:catAx>
        <c:axId val="635279256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#,##0_)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79256"/>
        <c:crosses val="autoZero"/>
        <c:crossBetween val="between"/>
      </c:valAx>
      <c:valAx>
        <c:axId val="405025360"/>
        <c:scaling>
          <c:orientation val="minMax"/>
          <c:max val="0.30000000000000004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547456"/>
        <c:crosses val="max"/>
        <c:crossBetween val="between"/>
      </c:valAx>
      <c:catAx>
        <c:axId val="553547456"/>
        <c:scaling>
          <c:orientation val="minMax"/>
        </c:scaling>
        <c:delete val="1"/>
        <c:axPos val="b"/>
        <c:numFmt formatCode="@" sourceLinked="1"/>
        <c:majorTickMark val="out"/>
        <c:minorTickMark val="none"/>
        <c:tickLblPos val="nextTo"/>
        <c:crossAx val="405025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8497118543"/>
          <c:y val="5.0831792975970423E-2"/>
          <c:w val="0.76400777572706335"/>
          <c:h val="7.7945146640412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1494971400294005"/>
          <c:w val="0.76762868213496627"/>
          <c:h val="0.7778494185454174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'Blank 3 Statement Model'!$A$138</c:f>
              <c:strCache>
                <c:ptCount val="1"/>
                <c:pt idx="0">
                  <c:v>Investing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'Blank 3 Statement Model'!$B$2:$D$2</c:f>
              <c:numCache>
                <c:formatCode>@</c:formatCod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numCache>
            </c:numRef>
          </c:cat>
          <c:val>
            <c:numRef>
              <c:f>'Blank 3 Statement Model'!$B$138:$D$138</c:f>
              <c:numCache>
                <c:formatCode>#,##0_);\(#,##0\);\-</c:formatCode>
                <c:ptCount val="3"/>
                <c:pt idx="0">
                  <c:v>-3004.9999999999973</c:v>
                </c:pt>
                <c:pt idx="1">
                  <c:v>-3911.0000000000018</c:v>
                </c:pt>
                <c:pt idx="2">
                  <c:v>-3710.8353600000046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7-4D06-8014-EEC902F7D8AD}"/>
            </c:ext>
          </c:extLst>
        </c:ser>
        <c:ser>
          <c:idx val="3"/>
          <c:order val="1"/>
          <c:tx>
            <c:strRef>
              <c:f>'Blank 3 Statement Model'!$A$139</c:f>
              <c:strCache>
                <c:ptCount val="1"/>
                <c:pt idx="0">
                  <c:v>Financing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'Blank 3 Statement Model'!$B$2:$D$2</c:f>
              <c:numCache>
                <c:formatCode>@</c:formatCod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numCache>
            </c:numRef>
          </c:cat>
          <c:val>
            <c:numRef>
              <c:f>'Blank 3 Statement Model'!$B$139:$D$139</c:f>
              <c:numCache>
                <c:formatCode>#,##0_);\(#,##0\);\-</c:formatCode>
                <c:ptCount val="3"/>
                <c:pt idx="0">
                  <c:v>-4312</c:v>
                </c:pt>
                <c:pt idx="1">
                  <c:v>-4209</c:v>
                </c:pt>
                <c:pt idx="2">
                  <c:v>-2930.9750848000026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77-4D06-8014-EEC902F7D8AD}"/>
            </c:ext>
          </c:extLst>
        </c:ser>
        <c:ser>
          <c:idx val="0"/>
          <c:order val="2"/>
          <c:tx>
            <c:strRef>
              <c:f>'Blank 3 Statement Model'!$A$137</c:f>
              <c:strCache>
                <c:ptCount val="1"/>
                <c:pt idx="0">
                  <c:v>Operations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'Blank 3 Statement Model'!$B$2:$D$2</c:f>
              <c:numCache>
                <c:formatCode>@</c:formatCod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numCache>
            </c:numRef>
          </c:cat>
          <c:val>
            <c:numRef>
              <c:f>'Blank 3 Statement Model'!$B$137:$D$137</c:f>
              <c:numCache>
                <c:formatCode>#,##0_);\(#,##0\);\-</c:formatCode>
                <c:ptCount val="3"/>
                <c:pt idx="0">
                  <c:v>6935</c:v>
                </c:pt>
                <c:pt idx="1">
                  <c:v>8749</c:v>
                </c:pt>
                <c:pt idx="2">
                  <c:v>10882.593892712335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77-4D06-8014-EEC902F7D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35279256"/>
        <c:axId val="635280568"/>
      </c:barChart>
      <c:lineChart>
        <c:grouping val="standard"/>
        <c:varyColors val="0"/>
        <c:ser>
          <c:idx val="2"/>
          <c:order val="3"/>
          <c:tx>
            <c:strRef>
              <c:f>'Blank 3 Statement Model'!$A$140</c:f>
              <c:strCache>
                <c:ptCount val="1"/>
                <c:pt idx="0">
                  <c:v>Change in Cash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'Blank 3 Statement Model'!$B$140:$D$140</c:f>
              <c:numCache>
                <c:formatCode>#,##0_);\(#,##0\);\-</c:formatCode>
                <c:ptCount val="3"/>
                <c:pt idx="0">
                  <c:v>-381.99999999999727</c:v>
                </c:pt>
                <c:pt idx="1">
                  <c:v>628.99999999999818</c:v>
                </c:pt>
                <c:pt idx="2">
                  <c:v>4240.7834479123285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77-4D06-8014-EEC902F7D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279256"/>
        <c:axId val="635280568"/>
      </c:lineChart>
      <c:catAx>
        <c:axId val="635279256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#,##0_)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7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8497118543"/>
          <c:y val="5.0831792975970423E-2"/>
          <c:w val="0.86634672331237528"/>
          <c:h val="7.8017217999649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56110</xdr:colOff>
      <xdr:row>143</xdr:row>
      <xdr:rowOff>85090</xdr:rowOff>
    </xdr:from>
    <xdr:to>
      <xdr:col>2</xdr:col>
      <xdr:colOff>900198</xdr:colOff>
      <xdr:row>158</xdr:row>
      <xdr:rowOff>149051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994816-6D0B-480B-A226-845BF18FD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160</xdr:row>
      <xdr:rowOff>59364</xdr:rowOff>
    </xdr:from>
    <xdr:to>
      <xdr:col>2</xdr:col>
      <xdr:colOff>873702</xdr:colOff>
      <xdr:row>175</xdr:row>
      <xdr:rowOff>125865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F5EEB4-FFE3-49A3-84C9-42BD72D17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D4A0-CBF9-4084-A6E5-6D0EB275A541}">
  <sheetPr>
    <pageSetUpPr fitToPage="1"/>
  </sheetPr>
  <dimension ref="A1:E203"/>
  <sheetViews>
    <sheetView showGridLines="0" tabSelected="1" zoomScale="120" zoomScaleNormal="120" workbookViewId="0">
      <pane ySplit="3" topLeftCell="A112" activePane="bottomLeft" state="frozen"/>
      <selection pane="bottomLeft" activeCell="C10" sqref="C10"/>
    </sheetView>
  </sheetViews>
  <sheetFormatPr defaultColWidth="9.08984375" defaultRowHeight="14" outlineLevelRow="1"/>
  <cols>
    <col min="1" max="1" width="41.1796875" style="14" customWidth="1"/>
    <col min="2" max="9" width="13.08984375" style="14" customWidth="1"/>
    <col min="10" max="10" width="2.36328125" style="14" customWidth="1"/>
    <col min="11" max="11" width="34.54296875" style="14" customWidth="1"/>
    <col min="12" max="16384" width="9.08984375" style="14"/>
  </cols>
  <sheetData>
    <row r="1" spans="1:4" s="3" customFormat="1" ht="19.75" customHeight="1">
      <c r="A1" s="4" t="s">
        <v>0</v>
      </c>
      <c r="B1" s="1"/>
      <c r="C1" s="2"/>
      <c r="D1" s="2"/>
    </row>
    <row r="2" spans="1:4" s="3" customFormat="1" ht="16.75" customHeight="1">
      <c r="A2" s="5" t="s">
        <v>1</v>
      </c>
      <c r="B2" s="55">
        <v>2016</v>
      </c>
      <c r="C2" s="55">
        <f>+B2+1</f>
        <v>2017</v>
      </c>
      <c r="D2" s="55">
        <f t="shared" ref="D2" si="0">+C2+1</f>
        <v>2018</v>
      </c>
    </row>
    <row r="3" spans="1:4" s="8" customFormat="1" ht="14.5" customHeight="1">
      <c r="A3" s="6" t="s">
        <v>2</v>
      </c>
      <c r="B3" s="7" t="str">
        <f>IF(ABS(B58-B71)&gt;1,"ERROR","OK")</f>
        <v>OK</v>
      </c>
      <c r="C3" s="7" t="str">
        <f t="shared" ref="C3:D3" si="1">IF(ABS(C58-C71)&gt;1,"ERROR","OK")</f>
        <v>OK</v>
      </c>
      <c r="D3" s="7" t="str">
        <f t="shared" si="1"/>
        <v>OK</v>
      </c>
    </row>
    <row r="4" spans="1:4" s="8" customFormat="1" ht="14.5" customHeight="1">
      <c r="A4" s="6"/>
      <c r="B4" s="6"/>
      <c r="C4" s="9"/>
      <c r="D4" s="9"/>
    </row>
    <row r="5" spans="1:4" s="12" customFormat="1" ht="19.75" customHeight="1">
      <c r="A5" s="10" t="s">
        <v>3</v>
      </c>
      <c r="B5" s="10"/>
      <c r="C5" s="10"/>
      <c r="D5" s="10"/>
    </row>
    <row r="6" spans="1:4" ht="14.5" customHeight="1" outlineLevel="1">
      <c r="A6" s="13"/>
    </row>
    <row r="7" spans="1:4" ht="14.5" customHeight="1" outlineLevel="1">
      <c r="A7" s="13" t="s">
        <v>4</v>
      </c>
      <c r="B7" s="56">
        <v>365</v>
      </c>
      <c r="C7" s="56">
        <v>365</v>
      </c>
      <c r="D7" s="56">
        <v>365</v>
      </c>
    </row>
    <row r="8" spans="1:4" s="17" customFormat="1" ht="14.5" customHeight="1" outlineLevel="1"/>
    <row r="9" spans="1:4" ht="14.5" customHeight="1" outlineLevel="1">
      <c r="A9" s="13" t="s">
        <v>5</v>
      </c>
      <c r="C9" s="18"/>
    </row>
    <row r="10" spans="1:4" ht="14.5" customHeight="1" outlineLevel="1">
      <c r="A10" s="14" t="s">
        <v>6</v>
      </c>
      <c r="B10" s="19"/>
      <c r="C10" s="20">
        <f>C32/B32-1</f>
        <v>6.4798211785512594E-2</v>
      </c>
      <c r="D10" s="20">
        <f>D32/C32-1</f>
        <v>7.3680131029550733E-2</v>
      </c>
    </row>
    <row r="11" spans="1:4" ht="14.5" customHeight="1" outlineLevel="1">
      <c r="A11" s="14" t="s">
        <v>7</v>
      </c>
      <c r="B11" s="20">
        <f>B34/B32</f>
        <v>0.53180958463314587</v>
      </c>
      <c r="C11" s="20">
        <f t="shared" ref="C11:D11" si="2">C34/C32</f>
        <v>0.56451129207132811</v>
      </c>
      <c r="D11" s="20">
        <f t="shared" si="2"/>
        <v>0.57417121730117726</v>
      </c>
    </row>
    <row r="12" spans="1:4" ht="14.5" customHeight="1" outlineLevel="1">
      <c r="A12" s="14" t="s">
        <v>8</v>
      </c>
      <c r="B12" s="20">
        <f>B35/B32</f>
        <v>7.2265481073911231E-2</v>
      </c>
      <c r="C12" s="20">
        <f t="shared" ref="C12:D12" si="3">C35/C32</f>
        <v>7.4061685390666446E-2</v>
      </c>
      <c r="D12" s="20">
        <f t="shared" si="3"/>
        <v>6.624003286426132E-2</v>
      </c>
    </row>
    <row r="13" spans="1:4" ht="14.5" customHeight="1" outlineLevel="1">
      <c r="A13" s="14" t="s">
        <v>97</v>
      </c>
      <c r="B13" s="21">
        <f>B36</f>
        <v>23507</v>
      </c>
      <c r="C13" s="21">
        <f t="shared" ref="C13:D13" si="4">C36</f>
        <v>26569</v>
      </c>
      <c r="D13" s="21">
        <f t="shared" si="4"/>
        <v>30830.071999999996</v>
      </c>
    </row>
    <row r="14" spans="1:4" ht="14.5" customHeight="1" outlineLevel="1">
      <c r="A14" s="14" t="s">
        <v>9</v>
      </c>
      <c r="B14" s="20">
        <f>B37/B32</f>
        <v>2.1664906290683107E-2</v>
      </c>
      <c r="C14" s="20">
        <f t="shared" ref="C14:D14" si="5">C37/C32</f>
        <v>2.2272716787007773E-2</v>
      </c>
      <c r="D14" s="20">
        <f t="shared" si="5"/>
        <v>2.176458222682872E-2</v>
      </c>
    </row>
    <row r="15" spans="1:4" ht="14.5" customHeight="1" outlineLevel="1">
      <c r="A15" s="14" t="s">
        <v>10</v>
      </c>
      <c r="B15" s="20">
        <f>B38/B32</f>
        <v>3.6353811009309525E-2</v>
      </c>
      <c r="C15" s="20">
        <f t="shared" ref="C15:D15" si="6">C38/C32</f>
        <v>3.2330618930079123E-2</v>
      </c>
      <c r="D15" s="20">
        <f t="shared" si="6"/>
        <v>3.1227444064580338E-2</v>
      </c>
    </row>
    <row r="16" spans="1:4" ht="14.5" customHeight="1" outlineLevel="1">
      <c r="A16" s="14" t="s">
        <v>11</v>
      </c>
      <c r="B16" s="20"/>
      <c r="C16" s="20">
        <f>C40/AVERAGE(B66:C66)</f>
        <v>6.2E-2</v>
      </c>
      <c r="D16" s="20">
        <f>D40/AVERAGE(C66:D66)</f>
        <v>6.2E-2</v>
      </c>
    </row>
    <row r="17" spans="1:4" ht="14.5" customHeight="1" outlineLevel="1">
      <c r="A17" s="14" t="s">
        <v>12</v>
      </c>
      <c r="B17" s="20">
        <f>B42/B41</f>
        <v>0.347470425371256</v>
      </c>
      <c r="C17" s="20">
        <f t="shared" ref="C17:D17" si="7">C42/C41</f>
        <v>0.24343555822810181</v>
      </c>
      <c r="D17" s="20">
        <f t="shared" si="7"/>
        <v>0.15276420725750783</v>
      </c>
    </row>
    <row r="18" spans="1:4" ht="14.5" customHeight="1" outlineLevel="1"/>
    <row r="19" spans="1:4" ht="14.5" customHeight="1" outlineLevel="1">
      <c r="A19" s="13" t="s">
        <v>13</v>
      </c>
    </row>
    <row r="20" spans="1:4" ht="14.5" customHeight="1" outlineLevel="1">
      <c r="A20" s="14" t="s">
        <v>14</v>
      </c>
      <c r="B20" s="22">
        <f t="shared" ref="B20:C20" si="8">B32/B110</f>
        <v>4.226859783003686</v>
      </c>
      <c r="C20" s="22">
        <f t="shared" si="8"/>
        <v>4.2559520887536202</v>
      </c>
      <c r="D20" s="22">
        <f>D32/D110</f>
        <v>4.3960292798110974</v>
      </c>
    </row>
    <row r="21" spans="1:4" ht="14.5" customHeight="1" outlineLevel="1">
      <c r="A21" s="14" t="s">
        <v>15</v>
      </c>
      <c r="B21" s="21">
        <f>B53/B32*B7</f>
        <v>56.864545208911593</v>
      </c>
      <c r="C21" s="21">
        <f t="shared" ref="C21:D21" si="9">C53/C32*C7</f>
        <v>59.251770513737341</v>
      </c>
      <c r="D21" s="21">
        <f t="shared" si="9"/>
        <v>57.723457210284863</v>
      </c>
    </row>
    <row r="22" spans="1:4" ht="14.5" customHeight="1" outlineLevel="1">
      <c r="A22" s="14" t="s">
        <v>16</v>
      </c>
      <c r="B22" s="21">
        <f>B54/B33*B7</f>
        <v>68.631987618373074</v>
      </c>
      <c r="C22" s="21">
        <f t="shared" ref="C22:D22" si="10">C54/C33*C7</f>
        <v>74.351493802309562</v>
      </c>
      <c r="D22" s="21">
        <f t="shared" si="10"/>
        <v>74</v>
      </c>
    </row>
    <row r="23" spans="1:4" ht="14.5" customHeight="1" outlineLevel="1">
      <c r="A23" s="14" t="s">
        <v>17</v>
      </c>
      <c r="B23" s="21">
        <f>B62/B33*B7</f>
        <v>95.757325358726149</v>
      </c>
      <c r="C23" s="21">
        <f t="shared" ref="C23:D23" si="11">C62/C33*C7</f>
        <v>101.54571458840979</v>
      </c>
      <c r="D23" s="21">
        <f t="shared" si="11"/>
        <v>102</v>
      </c>
    </row>
    <row r="24" spans="1:4" ht="14.5" customHeight="1" outlineLevel="1">
      <c r="A24" s="14" t="s">
        <v>18</v>
      </c>
      <c r="B24" s="20">
        <f>B63/B42</f>
        <v>0.39406012314378847</v>
      </c>
      <c r="C24" s="20">
        <f t="shared" ref="C24:D24" si="12">C63/C42</f>
        <v>0.36805269658295597</v>
      </c>
      <c r="D24" s="20">
        <f t="shared" si="12"/>
        <v>0.37002475352237169</v>
      </c>
    </row>
    <row r="25" spans="1:4" ht="14.5" customHeight="1" outlineLevel="1">
      <c r="A25" s="14" t="s">
        <v>19</v>
      </c>
      <c r="B25" s="21">
        <f>B66</f>
        <v>20000</v>
      </c>
      <c r="C25" s="21">
        <f t="shared" ref="C25:D25" si="13">C66</f>
        <v>20000</v>
      </c>
      <c r="D25" s="21">
        <f t="shared" si="13"/>
        <v>20000</v>
      </c>
    </row>
    <row r="26" spans="1:4" ht="14.5" customHeight="1" outlineLevel="1">
      <c r="A26" s="14" t="s">
        <v>20</v>
      </c>
      <c r="B26" s="21">
        <f>B68</f>
        <v>7627</v>
      </c>
      <c r="C26" s="21">
        <f t="shared" ref="C26:D26" si="14">C68</f>
        <v>7627</v>
      </c>
      <c r="D26" s="21">
        <f t="shared" si="14"/>
        <v>7627</v>
      </c>
    </row>
    <row r="27" spans="1:4" ht="14.5" customHeight="1" outlineLevel="1">
      <c r="A27" s="14" t="s">
        <v>21</v>
      </c>
      <c r="B27" s="20">
        <f>B45/B43</f>
        <v>0.83162970106075218</v>
      </c>
      <c r="C27" s="20">
        <f>C45/C43</f>
        <v>0.55755729235660356</v>
      </c>
      <c r="D27" s="20">
        <f>D45/D43</f>
        <v>0.3365767310470783</v>
      </c>
    </row>
    <row r="28" spans="1:4" ht="14.5" customHeight="1" outlineLevel="1">
      <c r="B28" s="23"/>
      <c r="C28" s="23"/>
      <c r="D28" s="23"/>
    </row>
    <row r="29" spans="1:4" ht="14.5" customHeight="1"/>
    <row r="30" spans="1:4" s="12" customFormat="1" ht="19.75" customHeight="1">
      <c r="A30" s="10" t="s">
        <v>5</v>
      </c>
      <c r="B30" s="10"/>
      <c r="C30" s="10"/>
      <c r="D30" s="10"/>
    </row>
    <row r="31" spans="1:4" ht="14.5" customHeight="1" outlineLevel="1">
      <c r="A31" s="13"/>
    </row>
    <row r="32" spans="1:4" ht="14.5" customHeight="1" outlineLevel="1">
      <c r="A32" s="13" t="s">
        <v>22</v>
      </c>
      <c r="B32" s="24">
        <v>81422</v>
      </c>
      <c r="C32" s="24">
        <v>86698</v>
      </c>
      <c r="D32" s="24">
        <v>93085.92</v>
      </c>
    </row>
    <row r="33" spans="1:5" ht="14.5" customHeight="1" outlineLevel="1">
      <c r="A33" s="14" t="s">
        <v>23</v>
      </c>
      <c r="B33" s="26">
        <v>38121</v>
      </c>
      <c r="C33" s="26">
        <v>37756</v>
      </c>
      <c r="D33" s="26">
        <v>39638.663999999997</v>
      </c>
    </row>
    <row r="34" spans="1:5" ht="14.5" customHeight="1" outlineLevel="1">
      <c r="A34" s="27" t="s">
        <v>24</v>
      </c>
      <c r="B34" s="28">
        <f>B32-B33</f>
        <v>43301</v>
      </c>
      <c r="C34" s="28">
        <f t="shared" ref="C34:D34" si="15">C32-C33</f>
        <v>48942</v>
      </c>
      <c r="D34" s="28">
        <f t="shared" si="15"/>
        <v>53447.256000000001</v>
      </c>
    </row>
    <row r="35" spans="1:5" ht="14.5" customHeight="1" outlineLevel="1">
      <c r="A35" s="14" t="s">
        <v>25</v>
      </c>
      <c r="B35" s="16">
        <v>5884</v>
      </c>
      <c r="C35" s="16">
        <v>6421</v>
      </c>
      <c r="D35" s="16">
        <v>6166.0144</v>
      </c>
    </row>
    <row r="36" spans="1:5" ht="14.5" customHeight="1" outlineLevel="1">
      <c r="A36" s="14" t="s">
        <v>26</v>
      </c>
      <c r="B36" s="16">
        <v>23507</v>
      </c>
      <c r="C36" s="16">
        <v>26569</v>
      </c>
      <c r="D36" s="16">
        <v>30830.071999999996</v>
      </c>
    </row>
    <row r="37" spans="1:5" ht="14.5" customHeight="1" outlineLevel="1">
      <c r="A37" s="14" t="s">
        <v>27</v>
      </c>
      <c r="B37" s="16">
        <v>1764</v>
      </c>
      <c r="C37" s="16">
        <v>1931</v>
      </c>
      <c r="D37" s="16">
        <v>2025.9761599999999</v>
      </c>
    </row>
    <row r="38" spans="1:5" ht="14.5" customHeight="1" outlineLevel="1">
      <c r="A38" s="14" t="s">
        <v>28</v>
      </c>
      <c r="B38" s="16">
        <v>2960</v>
      </c>
      <c r="C38" s="16">
        <v>2803</v>
      </c>
      <c r="D38" s="16">
        <v>2906.83536</v>
      </c>
    </row>
    <row r="39" spans="1:5" ht="14.5" customHeight="1" outlineLevel="1">
      <c r="A39" s="27" t="s">
        <v>29</v>
      </c>
      <c r="B39" s="29">
        <f>B34-SUM(B35:B38)</f>
        <v>9186</v>
      </c>
      <c r="C39" s="29">
        <f t="shared" ref="C39:D39" si="16">C34-SUM(C35:C38)</f>
        <v>11218</v>
      </c>
      <c r="D39" s="29">
        <f t="shared" si="16"/>
        <v>11518.358080000005</v>
      </c>
      <c r="E39" s="17"/>
    </row>
    <row r="40" spans="1:5" ht="14.5" customHeight="1" outlineLevel="1">
      <c r="A40" s="14" t="s">
        <v>30</v>
      </c>
      <c r="B40" s="16">
        <v>1240</v>
      </c>
      <c r="C40" s="16">
        <v>1240</v>
      </c>
      <c r="D40" s="16">
        <v>1240</v>
      </c>
      <c r="E40" s="17"/>
    </row>
    <row r="41" spans="1:5" ht="14.5" customHeight="1" outlineLevel="1">
      <c r="A41" s="30" t="s">
        <v>31</v>
      </c>
      <c r="B41" s="54">
        <f>B39-B40</f>
        <v>7946</v>
      </c>
      <c r="C41" s="54">
        <f t="shared" ref="C41:D41" si="17">C39-C40</f>
        <v>9978</v>
      </c>
      <c r="D41" s="54">
        <f t="shared" si="17"/>
        <v>10278.358080000005</v>
      </c>
      <c r="E41" s="17"/>
    </row>
    <row r="42" spans="1:5" ht="14.5" customHeight="1" outlineLevel="1">
      <c r="A42" s="14" t="s">
        <v>32</v>
      </c>
      <c r="B42" s="16">
        <v>2761</v>
      </c>
      <c r="C42" s="16">
        <v>2429</v>
      </c>
      <c r="D42" s="16">
        <v>1570.1652240000012</v>
      </c>
      <c r="E42" s="17"/>
    </row>
    <row r="43" spans="1:5" ht="14.5" customHeight="1" outlineLevel="1" thickBot="1">
      <c r="A43" s="32" t="s">
        <v>33</v>
      </c>
      <c r="B43" s="33">
        <f>B41-B42</f>
        <v>5185</v>
      </c>
      <c r="C43" s="33">
        <f t="shared" ref="C43:D43" si="18">C41-C42</f>
        <v>7549</v>
      </c>
      <c r="D43" s="33">
        <f t="shared" si="18"/>
        <v>8708.1928560000051</v>
      </c>
    </row>
    <row r="44" spans="1:5" ht="14.5" customHeight="1" outlineLevel="1" thickTop="1">
      <c r="A44" s="13"/>
      <c r="B44" s="52"/>
      <c r="C44" s="52"/>
      <c r="D44" s="52"/>
    </row>
    <row r="45" spans="1:5" ht="14.5" customHeight="1" outlineLevel="1">
      <c r="A45" s="14" t="s">
        <v>34</v>
      </c>
      <c r="B45" s="16">
        <v>4312</v>
      </c>
      <c r="C45" s="16">
        <v>4209</v>
      </c>
      <c r="D45" s="16">
        <v>2930.9750848000026</v>
      </c>
    </row>
    <row r="46" spans="1:5" ht="14.5" customHeight="1" outlineLevel="1">
      <c r="B46" s="16"/>
      <c r="C46" s="16"/>
      <c r="D46" s="16"/>
    </row>
    <row r="47" spans="1:5" ht="14.5" customHeight="1"/>
    <row r="48" spans="1:5" s="12" customFormat="1" ht="19.75" customHeight="1">
      <c r="A48" s="10" t="s">
        <v>13</v>
      </c>
      <c r="B48" s="10"/>
      <c r="C48" s="10"/>
      <c r="D48" s="10"/>
    </row>
    <row r="49" spans="1:4" ht="14.5" customHeight="1" outlineLevel="1">
      <c r="A49" s="13"/>
    </row>
    <row r="50" spans="1:4" ht="14.5" customHeight="1" outlineLevel="1">
      <c r="A50" s="13" t="s">
        <v>35</v>
      </c>
      <c r="B50" s="53"/>
      <c r="C50" s="53"/>
      <c r="D50" s="53"/>
    </row>
    <row r="51" spans="1:4" ht="14.5" customHeight="1" outlineLevel="1">
      <c r="A51" s="13" t="s">
        <v>36</v>
      </c>
      <c r="B51" s="53"/>
      <c r="C51" s="53"/>
      <c r="D51" s="53"/>
    </row>
    <row r="52" spans="1:4" ht="14.5" customHeight="1" outlineLevel="1">
      <c r="A52" s="14" t="s">
        <v>37</v>
      </c>
      <c r="B52" s="16">
        <v>5289.0000000000027</v>
      </c>
      <c r="C52" s="16">
        <v>5918.0000000000009</v>
      </c>
      <c r="D52" s="16">
        <v>10158.78344791233</v>
      </c>
    </row>
    <row r="53" spans="1:4" ht="14.5" customHeight="1" outlineLevel="1">
      <c r="A53" s="14" t="s">
        <v>38</v>
      </c>
      <c r="B53" s="16">
        <v>12685</v>
      </c>
      <c r="C53" s="16">
        <v>14074</v>
      </c>
      <c r="D53" s="16">
        <v>14721.208547945205</v>
      </c>
    </row>
    <row r="54" spans="1:4" ht="14.5" customHeight="1" outlineLevel="1">
      <c r="A54" s="14" t="s">
        <v>39</v>
      </c>
      <c r="B54" s="16">
        <v>7168</v>
      </c>
      <c r="C54" s="16">
        <v>7691</v>
      </c>
      <c r="D54" s="16">
        <v>8036.3318794520546</v>
      </c>
    </row>
    <row r="55" spans="1:4" ht="14.5" customHeight="1" outlineLevel="1">
      <c r="A55" s="30" t="s">
        <v>40</v>
      </c>
      <c r="B55" s="31">
        <f>SUM(B52:B54)</f>
        <v>25142.000000000004</v>
      </c>
      <c r="C55" s="31">
        <f t="shared" ref="C55:D55" si="19">SUM(C52:C54)</f>
        <v>27683</v>
      </c>
      <c r="D55" s="31">
        <f t="shared" si="19"/>
        <v>32916.323875309587</v>
      </c>
    </row>
    <row r="56" spans="1:4" ht="14.5" customHeight="1" outlineLevel="1">
      <c r="A56" s="13" t="s">
        <v>41</v>
      </c>
      <c r="B56" s="37"/>
      <c r="C56" s="37"/>
      <c r="D56" s="37"/>
    </row>
    <row r="57" spans="1:4" ht="14.5" customHeight="1" outlineLevel="1">
      <c r="A57" s="14" t="s">
        <v>42</v>
      </c>
      <c r="B57" s="16">
        <v>19263</v>
      </c>
      <c r="C57" s="16">
        <v>20371</v>
      </c>
      <c r="D57" s="16">
        <v>21175.000000000007</v>
      </c>
    </row>
    <row r="58" spans="1:4" ht="14.5" customHeight="1" outlineLevel="1" thickBot="1">
      <c r="A58" s="35" t="s">
        <v>43</v>
      </c>
      <c r="B58" s="36">
        <f>SUM(B55:B57)</f>
        <v>44405</v>
      </c>
      <c r="C58" s="36">
        <f t="shared" ref="C58:D58" si="20">SUM(C55:C57)</f>
        <v>48054</v>
      </c>
      <c r="D58" s="36">
        <f t="shared" si="20"/>
        <v>54091.323875309594</v>
      </c>
    </row>
    <row r="59" spans="1:4" ht="14.5" customHeight="1" outlineLevel="1">
      <c r="B59" s="37"/>
      <c r="C59" s="37"/>
      <c r="D59" s="37"/>
    </row>
    <row r="60" spans="1:4" ht="14.5" customHeight="1" outlineLevel="1">
      <c r="A60" s="13" t="s">
        <v>44</v>
      </c>
      <c r="B60" s="37"/>
      <c r="C60" s="37"/>
      <c r="D60" s="37"/>
    </row>
    <row r="61" spans="1:4" ht="14.5" customHeight="1" outlineLevel="1">
      <c r="A61" s="13" t="s">
        <v>45</v>
      </c>
      <c r="B61" s="37"/>
      <c r="C61" s="37"/>
      <c r="D61" s="37"/>
    </row>
    <row r="62" spans="1:4" ht="14.5" customHeight="1" outlineLevel="1">
      <c r="A62" s="14" t="s">
        <v>46</v>
      </c>
      <c r="B62" s="16">
        <v>10001</v>
      </c>
      <c r="C62" s="16">
        <v>10504</v>
      </c>
      <c r="D62" s="16">
        <v>11077.106104109589</v>
      </c>
    </row>
    <row r="63" spans="1:4" ht="14.5" customHeight="1" outlineLevel="1">
      <c r="A63" s="14" t="s">
        <v>47</v>
      </c>
      <c r="B63" s="16">
        <v>1088</v>
      </c>
      <c r="C63" s="16">
        <v>894</v>
      </c>
      <c r="D63" s="16">
        <v>581</v>
      </c>
    </row>
    <row r="64" spans="1:4" ht="14.5" customHeight="1" outlineLevel="1">
      <c r="A64" s="30" t="s">
        <v>48</v>
      </c>
      <c r="B64" s="31">
        <f>SUM(B62:B63)</f>
        <v>11089</v>
      </c>
      <c r="C64" s="31">
        <f t="shared" ref="C64:D64" si="21">SUM(C62:C63)</f>
        <v>11398</v>
      </c>
      <c r="D64" s="31">
        <f t="shared" si="21"/>
        <v>11658.106104109589</v>
      </c>
    </row>
    <row r="65" spans="1:4" ht="14.5" customHeight="1" outlineLevel="1">
      <c r="A65" s="13" t="s">
        <v>49</v>
      </c>
      <c r="B65" s="37"/>
      <c r="C65" s="37"/>
      <c r="D65" s="37"/>
    </row>
    <row r="66" spans="1:4" ht="14.5" customHeight="1" outlineLevel="1">
      <c r="A66" s="14" t="s">
        <v>50</v>
      </c>
      <c r="B66" s="16">
        <v>20000</v>
      </c>
      <c r="C66" s="16">
        <v>20000</v>
      </c>
      <c r="D66" s="16">
        <v>20000</v>
      </c>
    </row>
    <row r="67" spans="1:4" ht="14.5" customHeight="1" outlineLevel="1">
      <c r="A67" s="13" t="s">
        <v>51</v>
      </c>
      <c r="B67" s="37"/>
      <c r="C67" s="37"/>
      <c r="D67" s="37"/>
    </row>
    <row r="68" spans="1:4" ht="14.5" customHeight="1" outlineLevel="1">
      <c r="A68" s="14" t="s">
        <v>52</v>
      </c>
      <c r="B68" s="16">
        <v>7627</v>
      </c>
      <c r="C68" s="16">
        <v>7627</v>
      </c>
      <c r="D68" s="16">
        <v>7627</v>
      </c>
    </row>
    <row r="69" spans="1:4" ht="14.5" customHeight="1" outlineLevel="1">
      <c r="A69" s="14" t="s">
        <v>53</v>
      </c>
      <c r="B69" s="16">
        <v>5689</v>
      </c>
      <c r="C69" s="16">
        <v>9029</v>
      </c>
      <c r="D69" s="16">
        <v>14806.217771200003</v>
      </c>
    </row>
    <row r="70" spans="1:4" ht="14.5" customHeight="1" outlineLevel="1">
      <c r="A70" s="27" t="s">
        <v>54</v>
      </c>
      <c r="B70" s="38">
        <f>SUM(B68:B69)</f>
        <v>13316</v>
      </c>
      <c r="C70" s="38">
        <f t="shared" ref="C70:D70" si="22">SUM(C68:C69)</f>
        <v>16656</v>
      </c>
      <c r="D70" s="38">
        <f t="shared" si="22"/>
        <v>22433.217771200005</v>
      </c>
    </row>
    <row r="71" spans="1:4" ht="14.5" customHeight="1" outlineLevel="1" thickBot="1">
      <c r="A71" s="35" t="s">
        <v>55</v>
      </c>
      <c r="B71" s="36">
        <f>B70+B66+B64</f>
        <v>44405</v>
      </c>
      <c r="C71" s="36">
        <f t="shared" ref="C71:D71" si="23">C70+C66+C64</f>
        <v>48054</v>
      </c>
      <c r="D71" s="36">
        <f t="shared" si="23"/>
        <v>54091.323875309594</v>
      </c>
    </row>
    <row r="72" spans="1:4" ht="14.5" customHeight="1" outlineLevel="1">
      <c r="B72" s="34"/>
      <c r="C72" s="34"/>
      <c r="D72" s="34"/>
    </row>
    <row r="73" spans="1:4" ht="14.5" customHeight="1" outlineLevel="1">
      <c r="A73" s="39" t="s">
        <v>56</v>
      </c>
      <c r="B73" s="40">
        <f>B52-B100</f>
        <v>0</v>
      </c>
      <c r="C73" s="40">
        <f t="shared" ref="C73:D73" si="24">C52-C100</f>
        <v>0</v>
      </c>
      <c r="D73" s="40">
        <f t="shared" si="24"/>
        <v>0</v>
      </c>
    </row>
    <row r="74" spans="1:4" ht="14.5" customHeight="1" outlineLevel="1"/>
    <row r="75" spans="1:4" ht="14.5" customHeight="1"/>
    <row r="76" spans="1:4" s="12" customFormat="1" ht="19.75" customHeight="1">
      <c r="A76" s="10" t="s">
        <v>57</v>
      </c>
      <c r="B76" s="11"/>
      <c r="C76" s="11"/>
      <c r="D76" s="11"/>
    </row>
    <row r="77" spans="1:4" ht="14.5" customHeight="1" outlineLevel="1">
      <c r="A77" s="13"/>
      <c r="B77" s="15"/>
      <c r="C77" s="15"/>
      <c r="D77" s="15"/>
    </row>
    <row r="78" spans="1:4" ht="14.5" customHeight="1" outlineLevel="1">
      <c r="A78" s="13" t="s">
        <v>58</v>
      </c>
      <c r="B78" s="48"/>
      <c r="C78" s="48"/>
      <c r="D78" s="48"/>
    </row>
    <row r="79" spans="1:4" ht="14.5" customHeight="1" outlineLevel="1">
      <c r="A79" s="14" t="s">
        <v>33</v>
      </c>
      <c r="B79" s="16">
        <v>5185</v>
      </c>
      <c r="C79" s="16">
        <v>7549</v>
      </c>
      <c r="D79" s="16">
        <v>8708.1928560000051</v>
      </c>
    </row>
    <row r="80" spans="1:4" ht="14.5" customHeight="1" outlineLevel="1">
      <c r="A80" s="14" t="s">
        <v>28</v>
      </c>
      <c r="B80" s="16">
        <v>2960</v>
      </c>
      <c r="C80" s="16">
        <v>2803</v>
      </c>
      <c r="D80" s="16">
        <v>2906.83536</v>
      </c>
    </row>
    <row r="81" spans="1:4" ht="14.5" customHeight="1" outlineLevel="1">
      <c r="A81" s="14" t="s">
        <v>59</v>
      </c>
      <c r="B81" s="16"/>
      <c r="C81" s="16"/>
      <c r="D81" s="16"/>
    </row>
    <row r="82" spans="1:4" ht="14.5" customHeight="1" outlineLevel="1">
      <c r="A82" s="42" t="s">
        <v>38</v>
      </c>
      <c r="B82" s="16">
        <v>-1280</v>
      </c>
      <c r="C82" s="16">
        <v>-1389</v>
      </c>
      <c r="D82" s="16">
        <v>-647.20854794520528</v>
      </c>
    </row>
    <row r="83" spans="1:4" ht="14.5" customHeight="1" outlineLevel="1">
      <c r="A83" s="42" t="s">
        <v>39</v>
      </c>
      <c r="B83" s="16">
        <v>-470</v>
      </c>
      <c r="C83" s="16">
        <v>-523</v>
      </c>
      <c r="D83" s="16">
        <v>-345.33187945205464</v>
      </c>
    </row>
    <row r="84" spans="1:4" ht="14.5" customHeight="1" outlineLevel="1">
      <c r="A84" s="42" t="s">
        <v>46</v>
      </c>
      <c r="B84" s="16">
        <v>490</v>
      </c>
      <c r="C84" s="16">
        <v>503</v>
      </c>
      <c r="D84" s="16">
        <v>573.10610410958907</v>
      </c>
    </row>
    <row r="85" spans="1:4" ht="14.5" customHeight="1" outlineLevel="1">
      <c r="A85" s="42" t="s">
        <v>47</v>
      </c>
      <c r="B85" s="16">
        <v>50</v>
      </c>
      <c r="C85" s="16">
        <v>-194</v>
      </c>
      <c r="D85" s="16">
        <v>-313</v>
      </c>
    </row>
    <row r="86" spans="1:4" ht="14.5" customHeight="1" outlineLevel="1">
      <c r="A86" s="30" t="s">
        <v>60</v>
      </c>
      <c r="B86" s="43">
        <f>SUM(B79:B85)</f>
        <v>6935</v>
      </c>
      <c r="C86" s="43">
        <f t="shared" ref="C86:D86" si="25">SUM(C79:C85)</f>
        <v>8749</v>
      </c>
      <c r="D86" s="43">
        <f t="shared" si="25"/>
        <v>10882.593892712335</v>
      </c>
    </row>
    <row r="87" spans="1:4" ht="14.5" customHeight="1" outlineLevel="1">
      <c r="A87" s="14" t="s">
        <v>61</v>
      </c>
      <c r="B87" s="16"/>
      <c r="C87" s="16"/>
      <c r="D87" s="16"/>
    </row>
    <row r="88" spans="1:4" ht="14.5" customHeight="1" outlineLevel="1">
      <c r="A88" s="13" t="s">
        <v>62</v>
      </c>
      <c r="B88" s="16"/>
      <c r="C88" s="16"/>
      <c r="D88" s="16"/>
    </row>
    <row r="89" spans="1:4" ht="14.5" customHeight="1" outlineLevel="1">
      <c r="A89" s="14" t="s">
        <v>63</v>
      </c>
      <c r="B89" s="16">
        <v>-3004.9999999999973</v>
      </c>
      <c r="C89" s="16">
        <v>-3911.0000000000018</v>
      </c>
      <c r="D89" s="16">
        <v>-3710.8353600000046</v>
      </c>
    </row>
    <row r="90" spans="1:4" ht="14.5" customHeight="1" outlineLevel="1">
      <c r="A90" s="30" t="s">
        <v>64</v>
      </c>
      <c r="B90" s="43">
        <f>SUM(B89)</f>
        <v>-3004.9999999999973</v>
      </c>
      <c r="C90" s="43">
        <f t="shared" ref="C90:D90" si="26">SUM(C89)</f>
        <v>-3911.0000000000018</v>
      </c>
      <c r="D90" s="43">
        <f t="shared" si="26"/>
        <v>-3710.8353600000046</v>
      </c>
    </row>
    <row r="91" spans="1:4" ht="14.5" customHeight="1" outlineLevel="1">
      <c r="A91" s="14" t="s">
        <v>61</v>
      </c>
      <c r="B91" s="16"/>
      <c r="C91" s="16"/>
      <c r="D91" s="16"/>
    </row>
    <row r="92" spans="1:4" ht="14.5" customHeight="1" outlineLevel="1">
      <c r="A92" s="13" t="s">
        <v>65</v>
      </c>
      <c r="B92" s="16"/>
      <c r="C92" s="16"/>
      <c r="D92" s="16"/>
    </row>
    <row r="93" spans="1:4" ht="14.5" customHeight="1" outlineLevel="1">
      <c r="A93" s="14" t="s">
        <v>66</v>
      </c>
      <c r="B93" s="16">
        <v>0</v>
      </c>
      <c r="C93" s="16">
        <v>0</v>
      </c>
      <c r="D93" s="16">
        <v>0</v>
      </c>
    </row>
    <row r="94" spans="1:4" ht="14.5" customHeight="1" outlineLevel="1">
      <c r="A94" s="14" t="s">
        <v>67</v>
      </c>
      <c r="B94" s="16">
        <v>-4312</v>
      </c>
      <c r="C94" s="16">
        <v>-4209</v>
      </c>
      <c r="D94" s="16">
        <v>-2930.9750848000026</v>
      </c>
    </row>
    <row r="95" spans="1:4" ht="14.5" customHeight="1" outlineLevel="1">
      <c r="A95" s="14" t="s">
        <v>68</v>
      </c>
      <c r="B95" s="16">
        <v>0</v>
      </c>
      <c r="C95" s="16">
        <v>0</v>
      </c>
      <c r="D95" s="16">
        <v>0</v>
      </c>
    </row>
    <row r="96" spans="1:4" ht="14.5" customHeight="1" outlineLevel="1">
      <c r="A96" s="30" t="s">
        <v>69</v>
      </c>
      <c r="B96" s="43">
        <f>SUM(B93:B95)</f>
        <v>-4312</v>
      </c>
      <c r="C96" s="43">
        <f t="shared" ref="C96:D96" si="27">SUM(C93:C95)</f>
        <v>-4209</v>
      </c>
      <c r="D96" s="43">
        <f t="shared" si="27"/>
        <v>-2930.9750848000026</v>
      </c>
    </row>
    <row r="97" spans="1:4" ht="14.5" customHeight="1" outlineLevel="1">
      <c r="A97" s="14" t="s">
        <v>61</v>
      </c>
      <c r="B97" s="16"/>
      <c r="C97" s="16"/>
      <c r="D97" s="16"/>
    </row>
    <row r="98" spans="1:4" ht="14.5" customHeight="1" outlineLevel="1">
      <c r="A98" s="13" t="s">
        <v>70</v>
      </c>
      <c r="B98" s="25">
        <f>B86+B90+B96</f>
        <v>-381.99999999999727</v>
      </c>
      <c r="C98" s="25">
        <f t="shared" ref="C98:D98" si="28">C86+C90+C96</f>
        <v>628.99999999999818</v>
      </c>
      <c r="D98" s="25">
        <f t="shared" si="28"/>
        <v>4240.7834479123285</v>
      </c>
    </row>
    <row r="99" spans="1:4" ht="14.5" customHeight="1" outlineLevel="1">
      <c r="A99" s="14" t="s">
        <v>71</v>
      </c>
      <c r="B99" s="16">
        <v>5671</v>
      </c>
      <c r="C99" s="16">
        <v>5289.0000000000027</v>
      </c>
      <c r="D99" s="16">
        <v>5918.0000000000009</v>
      </c>
    </row>
    <row r="100" spans="1:4" ht="14.5" customHeight="1" outlineLevel="1">
      <c r="A100" s="44" t="s">
        <v>72</v>
      </c>
      <c r="B100" s="45">
        <f>SUM(B98:B99)</f>
        <v>5289.0000000000027</v>
      </c>
      <c r="C100" s="45">
        <f t="shared" ref="C100:D100" si="29">SUM(C98:C99)</f>
        <v>5918.0000000000009</v>
      </c>
      <c r="D100" s="45">
        <f t="shared" si="29"/>
        <v>10158.78344791233</v>
      </c>
    </row>
    <row r="101" spans="1:4" ht="14.5" customHeight="1" outlineLevel="1"/>
    <row r="102" spans="1:4" ht="14.5" customHeight="1">
      <c r="B102" s="46"/>
      <c r="C102" s="46"/>
      <c r="D102" s="46"/>
    </row>
    <row r="103" spans="1:4" s="12" customFormat="1" ht="19.75" customHeight="1">
      <c r="A103" s="10" t="s">
        <v>73</v>
      </c>
      <c r="B103" s="10"/>
      <c r="C103" s="10"/>
      <c r="D103" s="10"/>
    </row>
    <row r="104" spans="1:4" ht="14.5" customHeight="1" outlineLevel="1">
      <c r="A104" s="13"/>
    </row>
    <row r="105" spans="1:4" ht="14.5" customHeight="1" outlineLevel="1">
      <c r="A105" s="13" t="s">
        <v>74</v>
      </c>
    </row>
    <row r="106" spans="1:4" ht="14.5" customHeight="1" outlineLevel="1">
      <c r="A106" s="13" t="s">
        <v>98</v>
      </c>
      <c r="B106" s="15"/>
      <c r="C106" s="15"/>
      <c r="D106" s="15"/>
    </row>
    <row r="107" spans="1:4" ht="14.5" customHeight="1" outlineLevel="1">
      <c r="A107" s="14" t="s">
        <v>75</v>
      </c>
      <c r="B107" s="15">
        <f>B110-B108+B109</f>
        <v>19218.000000000004</v>
      </c>
      <c r="C107" s="15">
        <f>B110</f>
        <v>19263</v>
      </c>
      <c r="D107" s="15">
        <f>C110</f>
        <v>20371</v>
      </c>
    </row>
    <row r="108" spans="1:4" ht="14.5" customHeight="1" outlineLevel="1">
      <c r="A108" s="14" t="s">
        <v>76</v>
      </c>
      <c r="B108" s="15">
        <f>-B89</f>
        <v>3004.9999999999973</v>
      </c>
      <c r="C108" s="15">
        <f>-C89</f>
        <v>3911.0000000000018</v>
      </c>
      <c r="D108" s="15">
        <f>-D89</f>
        <v>3710.8353600000046</v>
      </c>
    </row>
    <row r="109" spans="1:4" ht="14.5" customHeight="1" outlineLevel="1">
      <c r="A109" s="14" t="s">
        <v>77</v>
      </c>
      <c r="B109" s="15">
        <f>B38</f>
        <v>2960</v>
      </c>
      <c r="C109" s="15">
        <f>C38</f>
        <v>2803</v>
      </c>
      <c r="D109" s="15">
        <f>D38</f>
        <v>2906.83536</v>
      </c>
    </row>
    <row r="110" spans="1:4" ht="14.5" customHeight="1" outlineLevel="1">
      <c r="A110" s="27" t="s">
        <v>78</v>
      </c>
      <c r="B110" s="47">
        <f>B57</f>
        <v>19263</v>
      </c>
      <c r="C110" s="47">
        <f>C107+C108-C109</f>
        <v>20371</v>
      </c>
      <c r="D110" s="47">
        <f>D107+D108-D109</f>
        <v>21175.000000000004</v>
      </c>
    </row>
    <row r="111" spans="1:4" ht="14.5" customHeight="1" outlineLevel="1">
      <c r="A111" s="14" t="s">
        <v>61</v>
      </c>
      <c r="B111" s="15"/>
      <c r="C111" s="15"/>
      <c r="D111" s="15"/>
    </row>
    <row r="112" spans="1:4" ht="14.5" customHeight="1" outlineLevel="1">
      <c r="A112" s="13" t="s">
        <v>79</v>
      </c>
      <c r="B112" s="15"/>
      <c r="C112" s="15"/>
      <c r="D112" s="15"/>
    </row>
    <row r="113" spans="1:4" ht="14.5" customHeight="1" outlineLevel="1">
      <c r="A113" s="14" t="s">
        <v>75</v>
      </c>
      <c r="B113" s="15">
        <f>B116-B114+B115</f>
        <v>4816</v>
      </c>
      <c r="C113" s="15">
        <f>B116</f>
        <v>5689</v>
      </c>
      <c r="D113" s="15">
        <f t="shared" ref="D113" si="30">C116</f>
        <v>9029</v>
      </c>
    </row>
    <row r="114" spans="1:4" ht="14.5" customHeight="1" outlineLevel="1">
      <c r="A114" s="14" t="s">
        <v>33</v>
      </c>
      <c r="B114" s="15">
        <f>B43</f>
        <v>5185</v>
      </c>
      <c r="C114" s="15">
        <f>C43</f>
        <v>7549</v>
      </c>
      <c r="D114" s="15">
        <f t="shared" ref="D114" si="31">D43</f>
        <v>8708.1928560000051</v>
      </c>
    </row>
    <row r="115" spans="1:4" ht="14.5" customHeight="1" outlineLevel="1">
      <c r="A115" s="14" t="s">
        <v>80</v>
      </c>
      <c r="B115" s="15">
        <f>B45</f>
        <v>4312</v>
      </c>
      <c r="C115" s="15">
        <f>C45</f>
        <v>4209</v>
      </c>
      <c r="D115" s="15">
        <f t="shared" ref="D115" si="32">D45</f>
        <v>2930.9750848000026</v>
      </c>
    </row>
    <row r="116" spans="1:4" ht="14.5" customHeight="1" outlineLevel="1">
      <c r="A116" s="27" t="s">
        <v>81</v>
      </c>
      <c r="B116" s="47">
        <f>B69</f>
        <v>5689</v>
      </c>
      <c r="C116" s="47">
        <f>C113+C114-C115</f>
        <v>9029</v>
      </c>
      <c r="D116" s="47">
        <f t="shared" ref="D116" si="33">D113+D114-D115</f>
        <v>14806.217771200003</v>
      </c>
    </row>
    <row r="117" spans="1:4" ht="14.5" customHeight="1" outlineLevel="1">
      <c r="A117" s="13" t="s">
        <v>61</v>
      </c>
      <c r="B117" s="25"/>
      <c r="C117" s="25"/>
      <c r="D117" s="25"/>
    </row>
    <row r="118" spans="1:4" ht="14.5" customHeight="1" outlineLevel="1">
      <c r="A118" s="13" t="s">
        <v>82</v>
      </c>
      <c r="B118" s="15"/>
      <c r="D118" s="15"/>
    </row>
    <row r="119" spans="1:4" ht="14.5" customHeight="1" outlineLevel="1">
      <c r="A119" s="14" t="s">
        <v>75</v>
      </c>
      <c r="B119" s="41">
        <f>B121-B120</f>
        <v>20000</v>
      </c>
      <c r="C119" s="41">
        <f>B121</f>
        <v>20000</v>
      </c>
      <c r="D119" s="41">
        <f t="shared" ref="D119" si="34">C121</f>
        <v>20000</v>
      </c>
    </row>
    <row r="120" spans="1:4" ht="14.5" customHeight="1" outlineLevel="1">
      <c r="A120" s="14" t="s">
        <v>83</v>
      </c>
      <c r="B120" s="15">
        <f>B95</f>
        <v>0</v>
      </c>
      <c r="C120" s="15">
        <f>C121-C119</f>
        <v>0</v>
      </c>
      <c r="D120" s="15">
        <f t="shared" ref="D120" si="35">D121-D119</f>
        <v>0</v>
      </c>
    </row>
    <row r="121" spans="1:4" ht="14.5" customHeight="1" outlineLevel="1">
      <c r="A121" s="27" t="s">
        <v>84</v>
      </c>
      <c r="B121" s="47">
        <f>B25</f>
        <v>20000</v>
      </c>
      <c r="C121" s="47">
        <f t="shared" ref="C121:D121" si="36">C25</f>
        <v>20000</v>
      </c>
      <c r="D121" s="47">
        <f t="shared" si="36"/>
        <v>20000</v>
      </c>
    </row>
    <row r="122" spans="1:4" ht="14.5" customHeight="1" outlineLevel="1">
      <c r="A122" s="14" t="s">
        <v>61</v>
      </c>
      <c r="B122" s="15"/>
      <c r="C122" s="15"/>
      <c r="D122" s="15"/>
    </row>
    <row r="123" spans="1:4" ht="14.5" customHeight="1" outlineLevel="1">
      <c r="A123" s="14" t="s">
        <v>85</v>
      </c>
      <c r="B123" s="15">
        <f>B40</f>
        <v>1240</v>
      </c>
      <c r="C123" s="15">
        <f>C16*AVERAGE(B121:C121)</f>
        <v>1240</v>
      </c>
      <c r="D123" s="15">
        <f t="shared" ref="D123" si="37">D16*AVERAGE(C121:D121)</f>
        <v>1240</v>
      </c>
    </row>
    <row r="124" spans="1:4" ht="14.5" customHeight="1" outlineLevel="1">
      <c r="A124" s="27" t="s">
        <v>86</v>
      </c>
      <c r="B124" s="47">
        <f>B123</f>
        <v>1240</v>
      </c>
      <c r="C124" s="47">
        <f>C123</f>
        <v>1240</v>
      </c>
      <c r="D124" s="47">
        <f t="shared" ref="D124" si="38">D123</f>
        <v>1240</v>
      </c>
    </row>
    <row r="125" spans="1:4" ht="14.5" customHeight="1" outlineLevel="1">
      <c r="B125" s="15"/>
      <c r="C125" s="15"/>
      <c r="D125" s="15"/>
    </row>
    <row r="126" spans="1:4" ht="14.5" customHeight="1">
      <c r="B126" s="15"/>
      <c r="C126" s="15"/>
      <c r="D126" s="15"/>
    </row>
    <row r="127" spans="1:4" s="12" customFormat="1" ht="19.75" customHeight="1">
      <c r="A127" s="10" t="s">
        <v>87</v>
      </c>
      <c r="B127" s="10"/>
      <c r="C127" s="10"/>
      <c r="D127" s="10"/>
    </row>
    <row r="128" spans="1:4" ht="14.5" customHeight="1" outlineLevel="1"/>
    <row r="129" spans="1:4" ht="14.5" customHeight="1" outlineLevel="1">
      <c r="A129" s="13" t="s">
        <v>5</v>
      </c>
    </row>
    <row r="130" spans="1:4" ht="14.5" customHeight="1" outlineLevel="1">
      <c r="A130" s="14" t="s">
        <v>88</v>
      </c>
      <c r="B130" s="15">
        <f>B32</f>
        <v>81422</v>
      </c>
      <c r="C130" s="15">
        <f t="shared" ref="C130:D130" si="39">C32</f>
        <v>86698</v>
      </c>
      <c r="D130" s="15">
        <f t="shared" si="39"/>
        <v>93085.92</v>
      </c>
    </row>
    <row r="131" spans="1:4" ht="14.5" customHeight="1" outlineLevel="1">
      <c r="A131" s="14" t="s">
        <v>89</v>
      </c>
      <c r="B131" s="34">
        <f>B39+B38</f>
        <v>12146</v>
      </c>
      <c r="C131" s="34">
        <f t="shared" ref="C131:D131" si="40">C39+C38</f>
        <v>14021</v>
      </c>
      <c r="D131" s="34">
        <f t="shared" si="40"/>
        <v>14425.193440000006</v>
      </c>
    </row>
    <row r="132" spans="1:4" ht="14.5" customHeight="1" outlineLevel="1">
      <c r="A132" s="49" t="s">
        <v>90</v>
      </c>
      <c r="B132" s="50">
        <f>B131/B130</f>
        <v>0.14917344206725455</v>
      </c>
      <c r="C132" s="50">
        <f t="shared" ref="C132:D132" si="41">C131/C130</f>
        <v>0.16172230039908647</v>
      </c>
      <c r="D132" s="50">
        <f t="shared" si="41"/>
        <v>0.15496643788878067</v>
      </c>
    </row>
    <row r="133" spans="1:4" ht="14.5" customHeight="1" outlineLevel="1">
      <c r="A133" s="14" t="s">
        <v>33</v>
      </c>
      <c r="B133" s="34">
        <f>B43</f>
        <v>5185</v>
      </c>
      <c r="C133" s="34">
        <f t="shared" ref="C133:D133" si="42">C43</f>
        <v>7549</v>
      </c>
      <c r="D133" s="34">
        <f t="shared" si="42"/>
        <v>8708.1928560000051</v>
      </c>
    </row>
    <row r="134" spans="1:4" ht="14.5" customHeight="1" outlineLevel="1">
      <c r="A134" s="49" t="s">
        <v>91</v>
      </c>
      <c r="B134" s="50">
        <f>B133/B130</f>
        <v>6.3680577730834423E-2</v>
      </c>
      <c r="C134" s="50">
        <f t="shared" ref="C134:D134" si="43">C133/C130</f>
        <v>8.7072366144547747E-2</v>
      </c>
      <c r="D134" s="50">
        <f t="shared" si="43"/>
        <v>9.3550054143526809E-2</v>
      </c>
    </row>
    <row r="135" spans="1:4" ht="14.5" customHeight="1" outlineLevel="1"/>
    <row r="136" spans="1:4" ht="14.5" customHeight="1" outlineLevel="1">
      <c r="A136" s="13" t="s">
        <v>92</v>
      </c>
    </row>
    <row r="137" spans="1:4" ht="14.5" customHeight="1" outlineLevel="1">
      <c r="A137" s="14" t="s">
        <v>93</v>
      </c>
      <c r="B137" s="15">
        <f>B86</f>
        <v>6935</v>
      </c>
      <c r="C137" s="15">
        <f t="shared" ref="C137:D137" si="44">C86</f>
        <v>8749</v>
      </c>
      <c r="D137" s="15">
        <f t="shared" si="44"/>
        <v>10882.593892712335</v>
      </c>
    </row>
    <row r="138" spans="1:4" ht="14.5" customHeight="1" outlineLevel="1">
      <c r="A138" s="14" t="s">
        <v>94</v>
      </c>
      <c r="B138" s="15">
        <f>B90</f>
        <v>-3004.9999999999973</v>
      </c>
      <c r="C138" s="15">
        <f t="shared" ref="C138:D138" si="45">C90</f>
        <v>-3911.0000000000018</v>
      </c>
      <c r="D138" s="15">
        <f t="shared" si="45"/>
        <v>-3710.8353600000046</v>
      </c>
    </row>
    <row r="139" spans="1:4" ht="14.5" customHeight="1" outlineLevel="1">
      <c r="A139" s="14" t="s">
        <v>95</v>
      </c>
      <c r="B139" s="15">
        <f>B96</f>
        <v>-4312</v>
      </c>
      <c r="C139" s="15">
        <f t="shared" ref="C139:D139" si="46">C96</f>
        <v>-4209</v>
      </c>
      <c r="D139" s="15">
        <f t="shared" si="46"/>
        <v>-2930.9750848000026</v>
      </c>
    </row>
    <row r="140" spans="1:4" ht="14.5" customHeight="1" outlineLevel="1">
      <c r="A140" s="14" t="s">
        <v>96</v>
      </c>
      <c r="B140" s="15">
        <f>B98</f>
        <v>-381.99999999999727</v>
      </c>
      <c r="C140" s="15">
        <f t="shared" ref="C140:D140" si="47">C98</f>
        <v>628.99999999999818</v>
      </c>
      <c r="D140" s="15">
        <f t="shared" si="47"/>
        <v>4240.7834479123285</v>
      </c>
    </row>
    <row r="141" spans="1:4" ht="14.5" customHeight="1" outlineLevel="1"/>
    <row r="142" spans="1:4" ht="14.5" customHeight="1" outlineLevel="1"/>
    <row r="143" spans="1:4" ht="14.5" customHeight="1" outlineLevel="1">
      <c r="A143" s="51" t="s">
        <v>5</v>
      </c>
      <c r="B143" s="51"/>
      <c r="C143" s="51"/>
    </row>
    <row r="144" spans="1:4" ht="14.5" customHeight="1" outlineLevel="1"/>
    <row r="145" spans="1:3" ht="14.5" customHeight="1" outlineLevel="1"/>
    <row r="146" spans="1:3" ht="14.5" customHeight="1" outlineLevel="1"/>
    <row r="147" spans="1:3" ht="14.5" customHeight="1" outlineLevel="1"/>
    <row r="148" spans="1:3" ht="14.5" customHeight="1" outlineLevel="1"/>
    <row r="149" spans="1:3" ht="14.5" customHeight="1" outlineLevel="1"/>
    <row r="150" spans="1:3" ht="14.5" customHeight="1" outlineLevel="1"/>
    <row r="151" spans="1:3" ht="14.5" customHeight="1" outlineLevel="1"/>
    <row r="152" spans="1:3" ht="14.5" customHeight="1" outlineLevel="1"/>
    <row r="153" spans="1:3" ht="14.5" customHeight="1" outlineLevel="1"/>
    <row r="154" spans="1:3" ht="14.5" customHeight="1" outlineLevel="1"/>
    <row r="155" spans="1:3" ht="14.5" customHeight="1" outlineLevel="1"/>
    <row r="156" spans="1:3" ht="14.5" customHeight="1" outlineLevel="1"/>
    <row r="157" spans="1:3" ht="14.5" customHeight="1" outlineLevel="1"/>
    <row r="158" spans="1:3" ht="14.5" customHeight="1" outlineLevel="1"/>
    <row r="159" spans="1:3" ht="14.5" customHeight="1" outlineLevel="1"/>
    <row r="160" spans="1:3" ht="14.5" customHeight="1" outlineLevel="1">
      <c r="A160" s="51" t="s">
        <v>57</v>
      </c>
      <c r="B160" s="51"/>
      <c r="C160" s="51"/>
    </row>
    <row r="161" ht="14.5" customHeight="1" outlineLevel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</sheetData>
  <conditionalFormatting sqref="A2">
    <cfRule type="containsText" dxfId="3" priority="3" operator="containsText" text="OK">
      <formula>NOT(ISERROR(SEARCH("OK",A2)))</formula>
    </cfRule>
    <cfRule type="containsText" dxfId="2" priority="4" operator="containsText" text="ERROR">
      <formula>NOT(ISERROR(SEARCH("ERROR",A2)))</formula>
    </cfRule>
  </conditionalFormatting>
  <conditionalFormatting sqref="B3:D3">
    <cfRule type="containsText" dxfId="1" priority="5" operator="containsText" text="OK">
      <formula>NOT(ISERROR(SEARCH("OK",B3)))</formula>
    </cfRule>
    <cfRule type="containsText" dxfId="0" priority="6" operator="containsText" text="ERROR">
      <formula>NOT(ISERROR(SEARCH("ERROR",B3)))</formula>
    </cfRule>
  </conditionalFormatting>
  <pageMargins left="0.75" right="0.75" top="1" bottom="1" header="0.5" footer="0.5"/>
  <pageSetup scale="57" fitToHeight="0" orientation="landscape" blackAndWhite="1" r:id="rId1"/>
  <headerFooter alignWithMargins="0">
    <oddFooter>&amp;R&amp;6© Management Development Associates (NA) Inc. - 21317</oddFooter>
  </headerFooter>
  <ignoredErrors>
    <ignoredError sqref="C16:D1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 3 Statement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Designer</dc:creator>
  <cp:lastModifiedBy>Yujie Li</cp:lastModifiedBy>
  <dcterms:created xsi:type="dcterms:W3CDTF">2019-09-10T18:31:51Z</dcterms:created>
  <dcterms:modified xsi:type="dcterms:W3CDTF">2026-02-06T00:15:31Z</dcterms:modified>
</cp:coreProperties>
</file>