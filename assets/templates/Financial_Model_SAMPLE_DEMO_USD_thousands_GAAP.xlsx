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8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2023</v>
      </c>
      <c r="C2" s="91" t="n">
        <v>2024</v>
      </c>
      <c r="D2" s="91" t="n">
        <v>2025</v>
      </c>
    </row>
    <row r="3" ht="14.5" customFormat="1" customHeight="1" s="58">
      <c r="A3" s="59" t="inlineStr">
        <is>
          <t>Balance Sheet Check (Assets - L+E)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D&amp;A % of Sales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LTD Rate (Avg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(Assumption)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520</v>
      </c>
      <c r="C32" s="105" t="n">
        <v>590</v>
      </c>
      <c r="D32" s="105" t="n">
        <v>650</v>
      </c>
    </row>
    <row r="33" outlineLevel="1" ht="14.5" customHeight="1">
      <c r="A33" s="14" t="inlineStr">
        <is>
          <t>Cost of Goods Sold</t>
        </is>
      </c>
      <c r="B33" s="106" t="n">
        <v>265</v>
      </c>
      <c r="C33" s="106" t="n">
        <v>300</v>
      </c>
      <c r="D33" s="106" t="n">
        <v>330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70</v>
      </c>
      <c r="C35" s="105" t="n">
        <v>78</v>
      </c>
      <c r="D35" s="105" t="n">
        <v>82</v>
      </c>
    </row>
    <row r="36" outlineLevel="1" ht="14.5" customHeight="1">
      <c r="A36" s="14" t="inlineStr">
        <is>
          <t>Marketing and Administration</t>
        </is>
      </c>
      <c r="B36" s="105" t="n">
        <v>120</v>
      </c>
      <c r="C36" s="105" t="n">
        <v>130</v>
      </c>
      <c r="D36" s="105" t="n">
        <v>140</v>
      </c>
    </row>
    <row r="37" outlineLevel="1" ht="14.5" customHeight="1">
      <c r="A37" s="14" t="inlineStr">
        <is>
          <t>Research and Development</t>
        </is>
      </c>
      <c r="B37" s="105" t="n">
        <v>15</v>
      </c>
      <c r="C37" s="105" t="n">
        <v>16</v>
      </c>
      <c r="D37" s="105" t="n">
        <v>18</v>
      </c>
    </row>
    <row r="38" outlineLevel="1" ht="14.5" customHeight="1">
      <c r="A38" s="14" t="inlineStr">
        <is>
          <t>Depreciation</t>
        </is>
      </c>
      <c r="B38" s="105" t="n">
        <v>14</v>
      </c>
      <c r="C38" s="105" t="n">
        <v>15</v>
      </c>
      <c r="D38" s="105" t="n">
        <v>15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6</v>
      </c>
      <c r="C40" s="105" t="n">
        <v>6.5</v>
      </c>
      <c r="D40" s="105" t="n">
        <v>7</v>
      </c>
      <c r="E40" s="17" t="n"/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 t="n">
        <v>0</v>
      </c>
      <c r="C42" s="97" t="n">
        <v>0</v>
      </c>
      <c r="D42" s="97" t="n">
        <v>0</v>
      </c>
      <c r="E42" s="17" t="n">
        <v>0</v>
      </c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5</v>
      </c>
      <c r="C45" s="105" t="n">
        <v>8</v>
      </c>
      <c r="D45" s="105" t="n">
        <v>10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72.09999999999999</v>
      </c>
      <c r="C52" s="105" t="n">
        <v>96.86500000000001</v>
      </c>
      <c r="D52" s="105" t="n">
        <v>114.525</v>
      </c>
    </row>
    <row r="53" outlineLevel="1" ht="14.5" customHeight="1">
      <c r="A53" s="14" t="inlineStr">
        <is>
          <t>Trade and Other Receivables</t>
        </is>
      </c>
      <c r="B53" s="105" t="n">
        <v>55</v>
      </c>
      <c r="C53" s="105" t="n">
        <v>62</v>
      </c>
      <c r="D53" s="105" t="n">
        <v>68</v>
      </c>
    </row>
    <row r="54" outlineLevel="1" ht="14.5" customHeight="1">
      <c r="A54" s="14" t="inlineStr">
        <is>
          <t>Inventories</t>
        </is>
      </c>
      <c r="B54" s="105" t="n">
        <v>30</v>
      </c>
      <c r="C54" s="105" t="n">
        <v>34</v>
      </c>
      <c r="D54" s="105" t="n">
        <v>38</v>
      </c>
    </row>
    <row r="55" outlineLevel="1" ht="14.5" customHeight="1">
      <c r="A55" t="inlineStr">
        <is>
          <t>Prepaid Expenses</t>
        </is>
      </c>
      <c r="B55" s="98" t="n">
        <v>8</v>
      </c>
      <c r="C55" s="98" t="n">
        <v>9</v>
      </c>
      <c r="D55" s="98" t="n">
        <v>10</v>
      </c>
    </row>
    <row r="56" outlineLevel="1" ht="14.5" customHeight="1">
      <c r="A56" t="inlineStr">
        <is>
          <t>Other Current Assets</t>
        </is>
      </c>
      <c r="B56" s="98" t="n">
        <v>5</v>
      </c>
      <c r="C56" s="98" t="n">
        <v>6</v>
      </c>
      <c r="D56" s="98" t="n">
        <v>7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160</v>
      </c>
      <c r="C59" s="105" t="n">
        <v>190</v>
      </c>
      <c r="D59" s="105" t="n">
        <v>215</v>
      </c>
    </row>
    <row r="60" outlineLevel="1" ht="14.5" customHeight="1">
      <c r="A60" t="inlineStr">
        <is>
          <t>Less: Accumulated Depreciation</t>
        </is>
      </c>
      <c r="B60" s="98" t="n">
        <v>40</v>
      </c>
      <c r="C60" s="98" t="n">
        <v>55</v>
      </c>
      <c r="D60" s="98" t="n">
        <v>70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45</v>
      </c>
      <c r="C66" s="105" t="n">
        <v>52</v>
      </c>
      <c r="D66" s="105" t="n">
        <v>58</v>
      </c>
    </row>
    <row r="67" outlineLevel="1" ht="14.5" customHeight="1">
      <c r="A67" t="inlineStr">
        <is>
          <t>Accrued Payroll</t>
        </is>
      </c>
      <c r="B67" s="98" t="n">
        <v>12</v>
      </c>
      <c r="C67" s="98" t="n">
        <v>13</v>
      </c>
      <c r="D67" s="98" t="n">
        <v>14</v>
      </c>
    </row>
    <row r="68" outlineLevel="1" ht="14.5" customHeight="1">
      <c r="A68" t="inlineStr">
        <is>
          <t>Deferred Revenue</t>
        </is>
      </c>
      <c r="B68" s="98" t="n">
        <v>10</v>
      </c>
      <c r="C68" s="98" t="n">
        <v>11</v>
      </c>
      <c r="D68" s="98" t="n">
        <v>12</v>
      </c>
    </row>
    <row r="69" outlineLevel="1" ht="14.5" customHeight="1">
      <c r="A69" t="inlineStr">
        <is>
          <t>Interest Payable</t>
        </is>
      </c>
      <c r="B69" s="98" t="n">
        <v>2</v>
      </c>
      <c r="C69" s="98" t="n">
        <v>2.5</v>
      </c>
      <c r="D69" s="98" t="n">
        <v>3</v>
      </c>
    </row>
    <row r="70" outlineLevel="1" ht="14.5" customHeight="1">
      <c r="A70" t="inlineStr">
        <is>
          <t>Other Current Liabilities</t>
        </is>
      </c>
      <c r="B70" s="98" t="n">
        <v>5</v>
      </c>
      <c r="C70" s="98" t="n">
        <v>6</v>
      </c>
      <c r="D70" s="98" t="n">
        <v>6.5</v>
      </c>
    </row>
    <row r="71" outlineLevel="1" ht="14.5" customHeight="1" thickBot="1">
      <c r="A71" s="14" t="inlineStr">
        <is>
          <t>Income Taxes Payable</t>
        </is>
      </c>
      <c r="B71" s="105" t="n">
        <v>3</v>
      </c>
      <c r="C71" s="105" t="n">
        <v>4</v>
      </c>
      <c r="D71" s="105" t="n">
        <v>5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60</v>
      </c>
      <c r="C74" s="105" t="n">
        <v>70</v>
      </c>
      <c r="D74" s="105" t="n">
        <v>65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80</v>
      </c>
      <c r="C76" s="105" t="n">
        <v>85</v>
      </c>
      <c r="D76" s="105" t="n">
        <v>85</v>
      </c>
    </row>
    <row r="77" outlineLevel="1" ht="14.5" customHeight="1">
      <c r="A77" s="14" t="inlineStr">
        <is>
          <t>Retained Earnings</t>
        </is>
      </c>
      <c r="B77" s="105" t="n">
        <v>0</v>
      </c>
      <c r="C77" s="97" t="n">
        <v>0</v>
      </c>
      <c r="D77" s="97" t="n">
        <v>0</v>
      </c>
      <c r="E77" t="n">
        <v>0</v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 t="n">
        <v>0</v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 t="n">
        <v>0</v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 t="n">
        <v>0</v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 t="n">
        <v>0</v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 t="n">
        <v>0</v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 t="n">
        <v>0</v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 t="n">
        <v>0</v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 t="n">
        <v>0</v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 t="n">
        <v>0</v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 t="n">
        <v>0</v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 t="n">
        <v>-20</v>
      </c>
      <c r="C103" s="105" t="n">
        <v>-29.99999999999999</v>
      </c>
      <c r="D103" s="105" t="n">
        <v>-24.99999999999997</v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 t="n">
        <v>0</v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 t="n">
        <v>0</v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 t="n">
        <v>60</v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• Best results: Upload a Trial Balance (ending balances) by period/year including Balance Sheet + P&amp;L accounts.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2026-02-12T06:09:05Z</dcterms:modified>
  <cp:lastModifiedBy>Yujie Li</cp:lastModifiedBy>
</cp:coreProperties>
</file>